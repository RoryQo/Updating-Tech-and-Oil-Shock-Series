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C:\Users\06132027\Nord universitet Dropbox\Pål Ulvedal\Estimating Hysteresis Effects\Final_codes\Data\"/>
    </mc:Choice>
  </mc:AlternateContent>
  <xr:revisionPtr revIDLastSave="0" documentId="13_ncr:1_{D1E51D3E-F59F-4E2D-9189-E8B814EAC61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RED Grap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N8" i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6" i="1"/>
</calcChain>
</file>

<file path=xl/sharedStrings.xml><?xml version="1.0" encoding="utf-8"?>
<sst xmlns="http://schemas.openxmlformats.org/spreadsheetml/2006/main" count="306" uniqueCount="306">
  <si>
    <t>GDPC1</t>
  </si>
  <si>
    <t>observation_date</t>
  </si>
  <si>
    <t>DPCERD3Q086SBEA</t>
  </si>
  <si>
    <t>EMRATIO</t>
  </si>
  <si>
    <t>GPDIC1</t>
  </si>
  <si>
    <t>B230RC0Q173SBEA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</si>
  <si>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</si>
  <si>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</si>
  <si>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</si>
  <si>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</si>
  <si>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</si>
  <si>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</si>
  <si>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</si>
  <si>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</si>
  <si>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</si>
  <si>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</si>
  <si>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</si>
  <si>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</si>
  <si>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</si>
  <si>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</si>
  <si>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</si>
  <si>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</si>
  <si>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</si>
  <si>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</si>
  <si>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</si>
  <si>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</si>
  <si>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</si>
  <si>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</si>
  <si>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</si>
  <si>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</si>
  <si>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</si>
  <si>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</si>
  <si>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</si>
  <si>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</si>
  <si>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</si>
  <si>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</si>
  <si>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</si>
  <si>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</si>
  <si>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</si>
  <si>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</si>
  <si>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</si>
  <si>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</si>
  <si>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</si>
  <si>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</si>
  <si>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</si>
  <si>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</si>
  <si>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</si>
  <si>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</si>
  <si>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</si>
  <si>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</si>
  <si>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</si>
  <si>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</si>
  <si>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</si>
  <si>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</si>
  <si>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</si>
  <si>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</si>
  <si>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</si>
  <si>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</si>
  <si>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</si>
  <si>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</si>
  <si>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</si>
  <si>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</si>
  <si>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</si>
  <si>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</si>
  <si>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</si>
  <si>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</si>
  <si>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</si>
  <si>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</si>
  <si>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</si>
  <si>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</si>
  <si>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</si>
  <si>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</si>
  <si>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</si>
  <si>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</si>
  <si>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</si>
  <si>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</si>
  <si>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</si>
  <si>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</si>
  <si>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</si>
  <si>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</si>
  <si>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</si>
  <si>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</si>
  <si>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</si>
  <si>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</si>
  <si>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</si>
  <si>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</si>
  <si>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</si>
  <si>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</si>
  <si>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</si>
  <si>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</si>
  <si>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</si>
  <si>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</si>
  <si>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</si>
  <si>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</si>
  <si>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</si>
  <si>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</si>
  <si>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</si>
  <si>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</si>
  <si>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</si>
  <si>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</si>
  <si>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</si>
  <si>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</si>
  <si>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</si>
  <si>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</si>
  <si>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</si>
  <si>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</si>
  <si>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</si>
  <si>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</si>
  <si>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</si>
  <si>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</si>
  <si>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</si>
  <si>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</si>
  <si>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</si>
  <si>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</si>
  <si>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</si>
  <si>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</si>
  <si>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</si>
  <si>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</si>
  <si>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</si>
  <si>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</si>
  <si>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</si>
  <si>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</si>
  <si>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</si>
  <si>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</si>
  <si>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</si>
  <si>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</si>
  <si>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</si>
  <si>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</si>
  <si>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</si>
  <si>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</si>
  <si>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</si>
  <si>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</si>
  <si>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</si>
  <si>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</si>
  <si>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</si>
  <si>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</si>
  <si>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</si>
  <si>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</si>
  <si>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</si>
  <si>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</si>
  <si>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</si>
  <si>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</si>
  <si>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</si>
  <si>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</si>
  <si>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</si>
  <si>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</si>
  <si>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</si>
  <si>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</si>
  <si>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</si>
  <si>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</si>
  <si>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</si>
  <si>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</si>
  <si>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</si>
  <si>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</si>
  <si>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</si>
  <si>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</si>
  <si>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</si>
  <si>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</si>
  <si>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</si>
  <si>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</si>
  <si>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</si>
  <si>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</si>
  <si>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</si>
  <si>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</si>
  <si>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</si>
  <si>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</si>
  <si>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</si>
  <si>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</si>
  <si>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</si>
  <si>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</si>
  <si>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</si>
  <si>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</si>
  <si>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</si>
  <si>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</si>
  <si>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</si>
  <si>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</si>
  <si>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</si>
  <si>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</si>
  <si>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</si>
  <si>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</si>
  <si>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</si>
  <si>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</si>
  <si>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</si>
  <si>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</si>
  <si>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</si>
  <si>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</si>
  <si>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</si>
  <si>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</si>
  <si>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</si>
  <si>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</si>
  <si>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</si>
  <si>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</si>
  <si>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</si>
  <si>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</si>
  <si>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</si>
  <si>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</si>
  <si>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</si>
  <si>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</si>
  <si>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</si>
  <si>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</si>
  <si>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</si>
  <si>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</si>
  <si>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</si>
  <si>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</si>
  <si>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</si>
  <si>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</si>
  <si>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</si>
  <si>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</si>
  <si>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</si>
  <si>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</si>
  <si>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</si>
  <si>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</si>
  <si>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</si>
  <si>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</si>
  <si>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</si>
  <si>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</si>
  <si>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</si>
  <si>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</si>
  <si>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</si>
  <si>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</si>
  <si>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</si>
  <si>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</si>
  <si>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</si>
  <si>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</si>
  <si>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</si>
  <si>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</si>
  <si>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</si>
  <si>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</si>
  <si>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</si>
  <si>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</si>
  <si>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</si>
  <si>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</si>
  <si>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</si>
  <si>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</si>
  <si>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</si>
  <si>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</si>
  <si>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</si>
  <si>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</si>
  <si>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</si>
  <si>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</si>
  <si>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</si>
  <si>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</si>
  <si>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</si>
  <si>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</si>
  <si>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</si>
  <si>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</si>
  <si>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</si>
  <si>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</si>
  <si>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</si>
  <si>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</si>
  <si>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</si>
  <si>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</si>
  <si>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</si>
  <si>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</si>
  <si>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</si>
  <si>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</si>
  <si>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</si>
  <si>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</si>
  <si>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</si>
  <si>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</si>
  <si>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</si>
  <si>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</si>
  <si>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</si>
  <si>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</si>
  <si>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</si>
  <si>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</si>
  <si>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</si>
  <si>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</si>
  <si>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</si>
  <si>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</si>
  <si>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</si>
  <si>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</si>
  <si>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</si>
  <si>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</si>
  <si>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</si>
  <si>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</si>
  <si>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</si>
  <si>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</si>
  <si>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</si>
  <si>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</si>
  <si>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</si>
  <si>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</si>
  <si>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</si>
  <si>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</si>
  <si>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</si>
  <si>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</si>
  <si>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</si>
  <si>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</si>
  <si>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</si>
  <si>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</si>
  <si>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</si>
  <si>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AHETPI</t>
  </si>
  <si>
    <t>SHADOWRATE</t>
  </si>
  <si>
    <t>PCECC96</t>
  </si>
  <si>
    <t>PIRIC</t>
  </si>
  <si>
    <t>UNRATE</t>
  </si>
  <si>
    <t>PRS85006042</t>
  </si>
  <si>
    <t>PRS85006042_lev</t>
  </si>
  <si>
    <t>FEDFUNDS</t>
  </si>
  <si>
    <t>1948Q1</t>
  </si>
  <si>
    <t>1948Q2</t>
  </si>
  <si>
    <t>1948Q3</t>
  </si>
  <si>
    <t>AWHNONAG</t>
  </si>
  <si>
    <t>CE16OV</t>
  </si>
  <si>
    <t>CNP16OV</t>
  </si>
  <si>
    <t>LREM25MAUSM156S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</si>
</sst>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0.0"/>
    <numFmt numFmtId="167" formatCode="0.000000000000000"/>
  </numFmts>
  <fonts count="3" x14ac:knownFonts="1">
    <font>
      <sz val="10"/>
      <name val="Arial"/>
    </font>
    <font>
      <sz val="10"/>
      <color indexed="8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164" fontId="0" fillId="0" borderId="0" xfId="0" applyNumberFormat="1"/>
    <xf numFmtId="1" fontId="0" fillId="0" borderId="0" xfId="0" applyNumberFormat="1"/>
    <xf numFmtId="166" fontId="1" fillId="0" borderId="0" xfId="0" applyNumberFormat="1" applyFont="1" applyAlignment="1">
      <alignment horizontal="right"/>
    </xf>
    <xf numFmtId="2" fontId="0" fillId="0" borderId="0" xfId="0" applyNumberFormat="1"/>
    <xf numFmtId="167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6"/>
  <sheetViews>
    <sheetView tabSelected="1" topLeftCell="A64" workbookViewId="0">
      <selection activeCell="J115" sqref="J115"/>
    </sheetView>
  </sheetViews>
  <sheetFormatPr baseColWidth="10" defaultColWidth="9.140625" defaultRowHeight="12.75" x14ac:dyDescent="0.2"/>
  <cols>
    <col min="1" max="255" width="20.7109375" customWidth="1"/>
  </cols>
  <sheetData>
    <row r="1" spans="1:18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s="7" t="s">
        <v>305</v>
      </c>
      <c r="H1" t="s">
        <v>291</v>
      </c>
      <c r="I1" t="s">
        <v>292</v>
      </c>
      <c r="J1" t="s">
        <v>293</v>
      </c>
      <c r="K1" t="s">
        <v>294</v>
      </c>
      <c r="L1" t="s">
        <v>295</v>
      </c>
      <c r="M1" t="s">
        <v>296</v>
      </c>
      <c r="N1" t="s">
        <v>297</v>
      </c>
      <c r="O1" t="s">
        <v>298</v>
      </c>
      <c r="P1" s="7" t="s">
        <v>302</v>
      </c>
      <c r="Q1" s="7" t="s">
        <v>303</v>
      </c>
      <c r="R1" s="7" t="s">
        <v>304</v>
      </c>
    </row>
    <row r="2" spans="1:18" x14ac:dyDescent="0.2">
      <c r="A2" t="s">
        <v>299</v>
      </c>
      <c r="B2">
        <v>2086.0169999999998</v>
      </c>
      <c r="L2" s="1">
        <v>3.7333333333333334</v>
      </c>
    </row>
    <row r="3" spans="1:18" x14ac:dyDescent="0.2">
      <c r="A3" t="s">
        <v>300</v>
      </c>
      <c r="B3">
        <v>2120.4499999999998</v>
      </c>
      <c r="L3" s="1">
        <v>3.6666666666666665</v>
      </c>
    </row>
    <row r="4" spans="1:18" x14ac:dyDescent="0.2">
      <c r="A4" t="s">
        <v>301</v>
      </c>
      <c r="B4">
        <v>2132.598</v>
      </c>
      <c r="L4" s="1">
        <v>3.7666666666666666</v>
      </c>
    </row>
    <row r="5" spans="1:18" x14ac:dyDescent="0.2">
      <c r="A5" t="s">
        <v>6</v>
      </c>
      <c r="B5">
        <v>2134.9810000000002</v>
      </c>
      <c r="C5" s="2">
        <v>13.327999999999999</v>
      </c>
      <c r="D5" s="1">
        <v>56.6</v>
      </c>
      <c r="E5" s="2">
        <v>262.74099999999999</v>
      </c>
      <c r="F5" s="3">
        <v>147607</v>
      </c>
      <c r="G5" s="4"/>
      <c r="H5" s="5"/>
      <c r="J5" s="2">
        <v>1335.0160000000001</v>
      </c>
      <c r="K5" s="6">
        <v>4.2515763061611098</v>
      </c>
      <c r="L5">
        <v>3.8333333333333335</v>
      </c>
      <c r="M5">
        <v>-0.5</v>
      </c>
      <c r="N5">
        <v>100</v>
      </c>
      <c r="Q5">
        <v>58515</v>
      </c>
      <c r="R5">
        <v>103418</v>
      </c>
    </row>
    <row r="6" spans="1:18" x14ac:dyDescent="0.2">
      <c r="A6" t="s">
        <v>7</v>
      </c>
      <c r="B6" s="2">
        <v>2105.5619999999999</v>
      </c>
      <c r="C6" s="2">
        <v>13.224</v>
      </c>
      <c r="D6" s="1">
        <v>56.133333333333333</v>
      </c>
      <c r="E6" s="2">
        <v>223.50700000000001</v>
      </c>
      <c r="F6" s="3">
        <v>148254</v>
      </c>
      <c r="G6" s="4"/>
      <c r="H6" s="5"/>
      <c r="J6" s="2">
        <v>1337.1769999999999</v>
      </c>
      <c r="K6" s="6">
        <v>4.2342178617137902</v>
      </c>
      <c r="L6">
        <v>4.666666666666667</v>
      </c>
      <c r="M6">
        <v>-0.67500000000000004</v>
      </c>
      <c r="N6">
        <f>N5*(1+M6/400)</f>
        <v>99.831250000000011</v>
      </c>
      <c r="Q6">
        <v>58142</v>
      </c>
      <c r="R6">
        <v>103584</v>
      </c>
    </row>
    <row r="7" spans="1:18" x14ac:dyDescent="0.2">
      <c r="A7" t="s">
        <v>8</v>
      </c>
      <c r="B7" s="2">
        <v>2098.38</v>
      </c>
      <c r="C7" s="2">
        <v>13.144</v>
      </c>
      <c r="D7" s="1">
        <v>55.366666666666667</v>
      </c>
      <c r="E7" s="2">
        <v>193.79499999999999</v>
      </c>
      <c r="F7" s="3">
        <v>148847</v>
      </c>
      <c r="G7" s="4"/>
      <c r="H7" s="5"/>
      <c r="J7" s="2">
        <v>1357.672</v>
      </c>
      <c r="K7" s="6">
        <v>4.2075735964856102</v>
      </c>
      <c r="L7">
        <v>5.8666666666666663</v>
      </c>
      <c r="M7">
        <v>-0.625</v>
      </c>
      <c r="N7">
        <f t="shared" ref="N7:N70" si="0">N6*(1+M7/400)</f>
        <v>99.675263671875015</v>
      </c>
      <c r="Q7">
        <v>57490</v>
      </c>
      <c r="R7">
        <v>103838</v>
      </c>
    </row>
    <row r="8" spans="1:18" x14ac:dyDescent="0.2">
      <c r="A8" t="s">
        <v>9</v>
      </c>
      <c r="B8" s="2">
        <v>2120.0439999999999</v>
      </c>
      <c r="C8" s="2">
        <v>13.067</v>
      </c>
      <c r="D8" s="1">
        <v>55.133333333333333</v>
      </c>
      <c r="E8" s="2">
        <v>209.86199999999999</v>
      </c>
      <c r="F8" s="3">
        <v>149485</v>
      </c>
      <c r="G8" s="4"/>
      <c r="H8" s="5"/>
      <c r="J8" s="2">
        <v>1360.751</v>
      </c>
      <c r="K8" s="6">
        <v>4.14996481141036</v>
      </c>
      <c r="L8">
        <v>6.7</v>
      </c>
      <c r="M8">
        <v>1.3</v>
      </c>
      <c r="N8">
        <f t="shared" si="0"/>
        <v>99.999208278808609</v>
      </c>
      <c r="Q8">
        <v>57390</v>
      </c>
      <c r="R8">
        <v>104127</v>
      </c>
    </row>
    <row r="9" spans="1:18" x14ac:dyDescent="0.2">
      <c r="A9" t="s">
        <v>10</v>
      </c>
      <c r="B9" s="2">
        <v>2102.2510000000002</v>
      </c>
      <c r="C9" s="2">
        <v>13.055</v>
      </c>
      <c r="D9" s="1">
        <v>55.266666666666666</v>
      </c>
      <c r="E9" s="2">
        <v>199.54</v>
      </c>
      <c r="F9" s="3">
        <v>150167</v>
      </c>
      <c r="G9" s="4"/>
      <c r="H9" s="5"/>
      <c r="J9" s="2">
        <v>1380.702</v>
      </c>
      <c r="K9" s="6">
        <v>4.1157944464815097</v>
      </c>
      <c r="L9">
        <v>6.9666666666666659</v>
      </c>
      <c r="M9">
        <v>-0.95</v>
      </c>
      <c r="N9">
        <f t="shared" si="0"/>
        <v>99.761710159146432</v>
      </c>
      <c r="Q9">
        <v>57708</v>
      </c>
      <c r="R9">
        <v>104428</v>
      </c>
    </row>
    <row r="10" spans="1:18" x14ac:dyDescent="0.2">
      <c r="A10" t="s">
        <v>11</v>
      </c>
      <c r="B10" s="2">
        <v>2184.8719999999998</v>
      </c>
      <c r="C10" s="2">
        <v>13.031000000000001</v>
      </c>
      <c r="D10" s="1">
        <v>55.1</v>
      </c>
      <c r="E10" s="2">
        <v>246.911</v>
      </c>
      <c r="F10" s="3">
        <v>150786</v>
      </c>
      <c r="G10" s="4"/>
      <c r="H10" s="5"/>
      <c r="J10" s="2">
        <v>1403.69</v>
      </c>
      <c r="K10" s="6">
        <v>4.0988061183020301</v>
      </c>
      <c r="L10">
        <v>6.3999999999999995</v>
      </c>
      <c r="M10">
        <v>4.5</v>
      </c>
      <c r="N10">
        <f t="shared" si="0"/>
        <v>100.88402939843682</v>
      </c>
      <c r="Q10">
        <v>57705</v>
      </c>
      <c r="R10">
        <v>104733</v>
      </c>
    </row>
    <row r="11" spans="1:18" x14ac:dyDescent="0.2">
      <c r="A11" t="s">
        <v>12</v>
      </c>
      <c r="B11" s="2">
        <v>2251.5070000000001</v>
      </c>
      <c r="C11" s="2">
        <v>13.093</v>
      </c>
      <c r="D11" s="1">
        <v>55.93333333333333</v>
      </c>
      <c r="E11" s="2">
        <v>273.33499999999998</v>
      </c>
      <c r="F11" s="3">
        <v>151319</v>
      </c>
      <c r="G11" s="4"/>
      <c r="H11" s="5"/>
      <c r="J11" s="2">
        <v>1426.807</v>
      </c>
      <c r="K11" s="6">
        <v>4.1101069791939704</v>
      </c>
      <c r="L11">
        <v>5.5666666666666673</v>
      </c>
      <c r="M11">
        <v>3.95</v>
      </c>
      <c r="N11">
        <f t="shared" si="0"/>
        <v>101.88025918874639</v>
      </c>
      <c r="Q11">
        <v>58761</v>
      </c>
      <c r="R11">
        <v>105020</v>
      </c>
    </row>
    <row r="12" spans="1:18" x14ac:dyDescent="0.2">
      <c r="A12" t="s">
        <v>13</v>
      </c>
      <c r="B12" s="2">
        <v>2338.5140000000001</v>
      </c>
      <c r="C12" s="2">
        <v>13.366</v>
      </c>
      <c r="D12" s="1">
        <v>56.5</v>
      </c>
      <c r="E12" s="2">
        <v>296.83100000000002</v>
      </c>
      <c r="F12" s="3">
        <v>151973</v>
      </c>
      <c r="G12" s="4"/>
      <c r="H12" s="5"/>
      <c r="J12" s="2">
        <v>1500.076</v>
      </c>
      <c r="K12" s="6">
        <v>4.08212622396249</v>
      </c>
      <c r="L12">
        <v>4.6333333333333337</v>
      </c>
      <c r="M12">
        <v>5.85</v>
      </c>
      <c r="N12">
        <f t="shared" si="0"/>
        <v>103.37025797938182</v>
      </c>
      <c r="Q12">
        <v>59458</v>
      </c>
      <c r="R12">
        <v>105248</v>
      </c>
    </row>
    <row r="13" spans="1:18" x14ac:dyDescent="0.2">
      <c r="A13" t="s">
        <v>14</v>
      </c>
      <c r="B13" s="2">
        <v>2383.2910000000002</v>
      </c>
      <c r="C13" s="2">
        <v>13.606</v>
      </c>
      <c r="D13" s="1">
        <v>56.833333333333336</v>
      </c>
      <c r="E13" s="2">
        <v>334.548</v>
      </c>
      <c r="F13" s="3">
        <v>152658</v>
      </c>
      <c r="G13" s="4"/>
      <c r="H13" s="5"/>
      <c r="J13" s="2">
        <v>1454.855</v>
      </c>
      <c r="K13" s="6">
        <v>4.0492087057055404</v>
      </c>
      <c r="L13">
        <v>4.2333333333333334</v>
      </c>
      <c r="M13">
        <v>1.125</v>
      </c>
      <c r="N13">
        <f t="shared" si="0"/>
        <v>103.66098682994884</v>
      </c>
      <c r="Q13">
        <v>59643</v>
      </c>
      <c r="R13">
        <v>104982</v>
      </c>
    </row>
    <row r="14" spans="1:18" x14ac:dyDescent="0.2">
      <c r="A14" t="s">
        <v>15</v>
      </c>
      <c r="B14" s="2">
        <v>2415.66</v>
      </c>
      <c r="C14" s="2">
        <v>14.04</v>
      </c>
      <c r="D14" s="1">
        <v>57.2</v>
      </c>
      <c r="E14" s="2">
        <v>300.363</v>
      </c>
      <c r="F14" s="3">
        <v>153291</v>
      </c>
      <c r="G14" s="4"/>
      <c r="H14" s="5"/>
      <c r="J14" s="2">
        <v>1490.0340000000001</v>
      </c>
      <c r="K14" s="6">
        <v>4.0253482888375798</v>
      </c>
      <c r="L14">
        <v>3.5</v>
      </c>
      <c r="M14">
        <v>1.85</v>
      </c>
      <c r="N14">
        <f t="shared" si="0"/>
        <v>104.14041889403737</v>
      </c>
      <c r="Q14">
        <v>59899</v>
      </c>
      <c r="R14">
        <v>104692</v>
      </c>
    </row>
    <row r="15" spans="1:18" x14ac:dyDescent="0.2">
      <c r="A15" t="s">
        <v>16</v>
      </c>
      <c r="B15" s="2">
        <v>2457.5169999999998</v>
      </c>
      <c r="C15" s="2">
        <v>14.154</v>
      </c>
      <c r="D15" s="1">
        <v>57.333333333333336</v>
      </c>
      <c r="E15" s="2">
        <v>307.32600000000002</v>
      </c>
      <c r="F15" s="3">
        <v>153902</v>
      </c>
      <c r="G15" s="4"/>
      <c r="H15" s="5"/>
      <c r="J15" s="2">
        <v>1447.9280000000001</v>
      </c>
      <c r="K15" s="6">
        <v>4.01990965004142</v>
      </c>
      <c r="L15">
        <v>3.1</v>
      </c>
      <c r="M15">
        <v>0.5</v>
      </c>
      <c r="N15">
        <f t="shared" si="0"/>
        <v>104.27059441765491</v>
      </c>
      <c r="Q15">
        <v>59899</v>
      </c>
      <c r="R15">
        <v>104507</v>
      </c>
    </row>
    <row r="16" spans="1:18" x14ac:dyDescent="0.2">
      <c r="A16" t="s">
        <v>17</v>
      </c>
      <c r="B16" s="2">
        <v>2508.1660000000002</v>
      </c>
      <c r="C16" s="2">
        <v>14.173999999999999</v>
      </c>
      <c r="D16" s="1">
        <v>57.366666666666667</v>
      </c>
      <c r="E16" s="2">
        <v>284.697</v>
      </c>
      <c r="F16" s="3">
        <v>154610</v>
      </c>
      <c r="G16" s="4"/>
      <c r="H16" s="5"/>
      <c r="J16" s="2">
        <v>1464.796</v>
      </c>
      <c r="K16" s="6">
        <v>4.0265171543378599</v>
      </c>
      <c r="L16">
        <v>3.1666666666666665</v>
      </c>
      <c r="M16">
        <v>1.2749999999999999</v>
      </c>
      <c r="N16">
        <f t="shared" si="0"/>
        <v>104.60295693736117</v>
      </c>
      <c r="Q16">
        <v>59954</v>
      </c>
      <c r="R16">
        <v>104543</v>
      </c>
    </row>
    <row r="17" spans="1:18" x14ac:dyDescent="0.2">
      <c r="A17" t="s">
        <v>18</v>
      </c>
      <c r="B17" s="2">
        <v>2513.69</v>
      </c>
      <c r="C17" s="2">
        <v>14.361000000000001</v>
      </c>
      <c r="D17" s="1">
        <v>57.366666666666667</v>
      </c>
      <c r="E17" s="2">
        <v>262.01299999999998</v>
      </c>
      <c r="F17" s="3">
        <v>155344</v>
      </c>
      <c r="G17" s="4"/>
      <c r="H17" s="5"/>
      <c r="J17" s="2">
        <v>1473.33</v>
      </c>
      <c r="K17" s="6">
        <v>4.0110042863656403</v>
      </c>
      <c r="L17">
        <v>3.3666666666666667</v>
      </c>
      <c r="M17">
        <v>0.35</v>
      </c>
      <c r="N17">
        <f t="shared" si="0"/>
        <v>104.69448452468136</v>
      </c>
      <c r="Q17">
        <v>60114</v>
      </c>
      <c r="R17">
        <v>104747</v>
      </c>
    </row>
    <row r="18" spans="1:18" x14ac:dyDescent="0.2">
      <c r="A18" t="s">
        <v>19</v>
      </c>
      <c r="B18" s="2">
        <v>2540.5500000000002</v>
      </c>
      <c r="C18" s="2">
        <v>14.422000000000001</v>
      </c>
      <c r="D18" s="1">
        <v>57.5</v>
      </c>
      <c r="E18" s="2">
        <v>268.85000000000002</v>
      </c>
      <c r="F18" s="3">
        <v>155976</v>
      </c>
      <c r="G18" s="4"/>
      <c r="H18" s="5"/>
      <c r="J18" s="2">
        <v>1476.7429999999999</v>
      </c>
      <c r="K18" s="6">
        <v>4.0272638265522103</v>
      </c>
      <c r="L18">
        <v>3.0666666666666669</v>
      </c>
      <c r="M18">
        <v>1.175</v>
      </c>
      <c r="N18">
        <f t="shared" si="0"/>
        <v>105.00202457297262</v>
      </c>
      <c r="Q18">
        <v>60277</v>
      </c>
      <c r="R18">
        <v>104863</v>
      </c>
    </row>
    <row r="19" spans="1:18" x14ac:dyDescent="0.2">
      <c r="A19" t="s">
        <v>20</v>
      </c>
      <c r="B19" s="2">
        <v>2546.0219999999999</v>
      </c>
      <c r="C19" s="2">
        <v>14.417999999999999</v>
      </c>
      <c r="D19" s="1">
        <v>57.233333333333334</v>
      </c>
      <c r="E19" s="2">
        <v>248.58</v>
      </c>
      <c r="F19" s="3">
        <v>156587</v>
      </c>
      <c r="G19" s="4"/>
      <c r="H19" s="5"/>
      <c r="J19" s="2">
        <v>1505.663</v>
      </c>
      <c r="K19" s="6">
        <v>4.0220821050001296</v>
      </c>
      <c r="L19">
        <v>2.9666666666666668</v>
      </c>
      <c r="M19">
        <v>-0.6</v>
      </c>
      <c r="N19">
        <f t="shared" si="0"/>
        <v>104.84452153611316</v>
      </c>
      <c r="Q19">
        <v>60108</v>
      </c>
      <c r="R19">
        <v>105007</v>
      </c>
    </row>
    <row r="20" spans="1:18" x14ac:dyDescent="0.2">
      <c r="A20" t="s">
        <v>21</v>
      </c>
      <c r="B20" s="2">
        <v>2564.4009999999998</v>
      </c>
      <c r="C20" s="2">
        <v>14.512</v>
      </c>
      <c r="D20" s="1">
        <v>57.06666666666667</v>
      </c>
      <c r="E20" s="2">
        <v>261.90600000000001</v>
      </c>
      <c r="F20" s="3">
        <v>157267</v>
      </c>
      <c r="G20" s="4"/>
      <c r="H20" s="5"/>
      <c r="J20" s="2">
        <v>1512.885</v>
      </c>
      <c r="K20" s="6">
        <v>4.0141668650465601</v>
      </c>
      <c r="L20">
        <v>3.2333333333333329</v>
      </c>
      <c r="M20">
        <v>0.22500000000000001</v>
      </c>
      <c r="N20">
        <f t="shared" si="0"/>
        <v>104.90349657947723</v>
      </c>
      <c r="Q20">
        <v>60094</v>
      </c>
      <c r="R20">
        <v>105343</v>
      </c>
    </row>
    <row r="21" spans="1:18" x14ac:dyDescent="0.2">
      <c r="A21" t="s">
        <v>22</v>
      </c>
      <c r="B21" s="2">
        <v>2648.6210000000001</v>
      </c>
      <c r="C21" s="2">
        <v>14.536</v>
      </c>
      <c r="D21" s="1">
        <v>57.333333333333336</v>
      </c>
      <c r="E21" s="2">
        <v>280.77199999999999</v>
      </c>
      <c r="F21" s="3">
        <v>157986</v>
      </c>
      <c r="G21" s="4"/>
      <c r="H21" s="5"/>
      <c r="J21" s="2">
        <v>1566.2560000000001</v>
      </c>
      <c r="K21" s="6">
        <v>3.9502303260092502</v>
      </c>
      <c r="L21">
        <v>2.8333333333333335</v>
      </c>
      <c r="M21">
        <v>5.1749999999999998</v>
      </c>
      <c r="N21">
        <f t="shared" si="0"/>
        <v>106.26068556647422</v>
      </c>
      <c r="Q21">
        <v>60611</v>
      </c>
      <c r="R21">
        <v>105703</v>
      </c>
    </row>
    <row r="22" spans="1:18" x14ac:dyDescent="0.2">
      <c r="A22" t="s">
        <v>23</v>
      </c>
      <c r="B22" s="2">
        <v>2697.855</v>
      </c>
      <c r="C22" s="2">
        <v>14.590999999999999</v>
      </c>
      <c r="D22" s="1">
        <v>57.966666666666669</v>
      </c>
      <c r="E22" s="2">
        <v>286.81299999999999</v>
      </c>
      <c r="F22" s="3">
        <v>158574</v>
      </c>
      <c r="G22" s="4"/>
      <c r="H22" s="5"/>
      <c r="J22" s="2">
        <v>1584.6510000000001</v>
      </c>
      <c r="K22" s="6">
        <v>3.9404641846078698</v>
      </c>
      <c r="L22">
        <v>2.6999999999999997</v>
      </c>
      <c r="M22">
        <v>1.9750000000000001</v>
      </c>
      <c r="N22">
        <f t="shared" si="0"/>
        <v>106.78534770145869</v>
      </c>
      <c r="Q22">
        <v>61831</v>
      </c>
      <c r="R22">
        <v>106672</v>
      </c>
    </row>
    <row r="23" spans="1:18" x14ac:dyDescent="0.2">
      <c r="A23" t="s">
        <v>24</v>
      </c>
      <c r="B23" s="2">
        <v>2718.7089999999998</v>
      </c>
      <c r="C23" s="2">
        <v>14.613</v>
      </c>
      <c r="D23" s="1">
        <v>57.333333333333336</v>
      </c>
      <c r="E23" s="2">
        <v>288.44499999999999</v>
      </c>
      <c r="F23" s="3">
        <v>159160</v>
      </c>
      <c r="G23" s="4"/>
      <c r="H23" s="5"/>
      <c r="J23" s="2">
        <v>1594.191</v>
      </c>
      <c r="K23" s="6">
        <v>3.9341155503181602</v>
      </c>
      <c r="L23">
        <v>2.5666666666666669</v>
      </c>
      <c r="M23">
        <v>0.42499999999999999</v>
      </c>
      <c r="N23">
        <f t="shared" si="0"/>
        <v>106.89880713339149</v>
      </c>
      <c r="Q23">
        <v>61306</v>
      </c>
      <c r="R23">
        <v>106905</v>
      </c>
    </row>
    <row r="24" spans="1:18" x14ac:dyDescent="0.2">
      <c r="A24" t="s">
        <v>25</v>
      </c>
      <c r="B24" s="2">
        <v>2703.4110000000001</v>
      </c>
      <c r="C24" s="2">
        <v>14.692</v>
      </c>
      <c r="D24" s="1">
        <v>57.1</v>
      </c>
      <c r="E24" s="2">
        <v>282.411</v>
      </c>
      <c r="F24" s="3">
        <v>159889</v>
      </c>
      <c r="G24" s="4"/>
      <c r="H24" s="5"/>
      <c r="J24" s="2">
        <v>1590.393</v>
      </c>
      <c r="K24" s="6">
        <v>3.89936050516524</v>
      </c>
      <c r="L24">
        <v>2.7333333333333338</v>
      </c>
      <c r="M24">
        <v>-0.57499999999999996</v>
      </c>
      <c r="N24">
        <f t="shared" si="0"/>
        <v>106.74514009813724</v>
      </c>
      <c r="Q24">
        <v>61151</v>
      </c>
      <c r="R24">
        <v>107140</v>
      </c>
    </row>
    <row r="25" spans="1:18" x14ac:dyDescent="0.2">
      <c r="A25" t="s">
        <v>26</v>
      </c>
      <c r="B25" s="2">
        <v>2662.482</v>
      </c>
      <c r="C25" s="2">
        <v>14.756</v>
      </c>
      <c r="D25" s="1">
        <v>56.3</v>
      </c>
      <c r="E25" s="2">
        <v>262.005</v>
      </c>
      <c r="F25" s="3">
        <v>160639</v>
      </c>
      <c r="G25" s="4"/>
      <c r="H25" s="5"/>
      <c r="J25" s="2">
        <v>1579.729</v>
      </c>
      <c r="K25" s="6">
        <v>3.85865496413872</v>
      </c>
      <c r="L25">
        <v>3.6999999999999997</v>
      </c>
      <c r="M25">
        <v>-1.85</v>
      </c>
      <c r="N25">
        <f t="shared" si="0"/>
        <v>106.25144382518336</v>
      </c>
      <c r="Q25">
        <v>60536</v>
      </c>
      <c r="R25">
        <v>107503</v>
      </c>
    </row>
    <row r="26" spans="1:18" x14ac:dyDescent="0.2">
      <c r="A26" t="s">
        <v>27</v>
      </c>
      <c r="B26" s="2">
        <v>2649.7550000000001</v>
      </c>
      <c r="C26" s="2">
        <v>14.831</v>
      </c>
      <c r="D26" s="1">
        <v>55.866666666666667</v>
      </c>
      <c r="E26" s="2">
        <v>260.12700000000001</v>
      </c>
      <c r="F26" s="3">
        <v>161328</v>
      </c>
      <c r="G26" s="4"/>
      <c r="H26" s="5"/>
      <c r="J26" s="2">
        <v>1585.556</v>
      </c>
      <c r="K26" s="6">
        <v>3.8327273064773002</v>
      </c>
      <c r="L26">
        <v>5.2666666666666666</v>
      </c>
      <c r="M26">
        <v>-1.125</v>
      </c>
      <c r="N26">
        <f t="shared" si="0"/>
        <v>105.95261163942503</v>
      </c>
      <c r="Q26">
        <v>60291</v>
      </c>
      <c r="R26">
        <v>107877</v>
      </c>
    </row>
    <row r="27" spans="1:18" x14ac:dyDescent="0.2">
      <c r="A27" t="s">
        <v>28</v>
      </c>
      <c r="B27" s="2">
        <v>2652.643</v>
      </c>
      <c r="C27" s="2">
        <v>14.811</v>
      </c>
      <c r="D27" s="1">
        <v>55.43333333333333</v>
      </c>
      <c r="E27" s="2">
        <v>259.51299999999998</v>
      </c>
      <c r="F27" s="3">
        <v>161983</v>
      </c>
      <c r="G27" s="4"/>
      <c r="H27" s="5"/>
      <c r="J27" s="2">
        <v>1606.146</v>
      </c>
      <c r="K27" s="6">
        <v>3.7900960972082198</v>
      </c>
      <c r="L27">
        <v>5.8</v>
      </c>
      <c r="M27">
        <v>-0.05</v>
      </c>
      <c r="N27">
        <f t="shared" si="0"/>
        <v>105.93936756297009</v>
      </c>
      <c r="Q27">
        <v>59962</v>
      </c>
      <c r="R27">
        <v>108177</v>
      </c>
    </row>
    <row r="28" spans="1:18" x14ac:dyDescent="0.2">
      <c r="A28" t="s">
        <v>29</v>
      </c>
      <c r="B28" s="2">
        <v>2682.6010000000001</v>
      </c>
      <c r="C28" s="2">
        <v>14.762</v>
      </c>
      <c r="D28" s="1">
        <v>55.233333333333334</v>
      </c>
      <c r="E28" s="2">
        <v>272.03699999999998</v>
      </c>
      <c r="F28" s="3">
        <v>162731</v>
      </c>
      <c r="G28" s="4"/>
      <c r="H28" s="5"/>
      <c r="J28" s="2">
        <v>1627.8820000000001</v>
      </c>
      <c r="K28" s="6">
        <v>3.77132769826573</v>
      </c>
      <c r="L28">
        <v>5.9666666666666659</v>
      </c>
      <c r="M28">
        <v>1.45</v>
      </c>
      <c r="N28">
        <f t="shared" si="0"/>
        <v>106.32339777038585</v>
      </c>
      <c r="O28" s="5">
        <v>1.03</v>
      </c>
      <c r="Q28">
        <v>59926</v>
      </c>
      <c r="R28">
        <v>108443</v>
      </c>
    </row>
    <row r="29" spans="1:18" x14ac:dyDescent="0.2">
      <c r="A29" t="s">
        <v>30</v>
      </c>
      <c r="B29" s="2">
        <v>2735.0909999999999</v>
      </c>
      <c r="C29" s="2">
        <v>14.746</v>
      </c>
      <c r="D29" s="1">
        <v>55.4</v>
      </c>
      <c r="E29" s="2">
        <v>283.96800000000002</v>
      </c>
      <c r="F29" s="3">
        <v>163524</v>
      </c>
      <c r="G29" s="4"/>
      <c r="H29" s="5"/>
      <c r="J29" s="2">
        <v>1662.047</v>
      </c>
      <c r="K29" s="6">
        <v>3.7710457095842398</v>
      </c>
      <c r="L29">
        <v>5.333333333333333</v>
      </c>
      <c r="M29">
        <v>2.4750000000000001</v>
      </c>
      <c r="N29">
        <f t="shared" si="0"/>
        <v>106.98127379409011</v>
      </c>
      <c r="O29" s="5">
        <v>0.98666666666666669</v>
      </c>
      <c r="Q29">
        <v>60248</v>
      </c>
      <c r="R29">
        <v>108786</v>
      </c>
    </row>
    <row r="30" spans="1:18" x14ac:dyDescent="0.2">
      <c r="A30" t="s">
        <v>31</v>
      </c>
      <c r="B30" s="2">
        <v>2813.212</v>
      </c>
      <c r="C30" s="2">
        <v>14.794</v>
      </c>
      <c r="D30" s="1">
        <v>55.733333333333334</v>
      </c>
      <c r="E30" s="2">
        <v>312.33699999999999</v>
      </c>
      <c r="F30" s="3">
        <v>164204</v>
      </c>
      <c r="G30" s="4"/>
      <c r="H30" s="5"/>
      <c r="J30" s="2">
        <v>1699.34</v>
      </c>
      <c r="K30" s="6">
        <v>3.7811872464377401</v>
      </c>
      <c r="L30">
        <v>4.7333333333333334</v>
      </c>
      <c r="M30">
        <v>3.8</v>
      </c>
      <c r="N30">
        <f t="shared" si="0"/>
        <v>107.99759589513398</v>
      </c>
      <c r="O30" s="5">
        <v>1.3433333333333333</v>
      </c>
      <c r="Q30">
        <v>60815</v>
      </c>
      <c r="R30">
        <v>109130</v>
      </c>
    </row>
    <row r="31" spans="1:18" x14ac:dyDescent="0.2">
      <c r="A31" t="s">
        <v>32</v>
      </c>
      <c r="B31" s="2">
        <v>2858.9879999999998</v>
      </c>
      <c r="C31" s="2">
        <v>14.808</v>
      </c>
      <c r="D31" s="1">
        <v>56.266666666666666</v>
      </c>
      <c r="E31" s="2">
        <v>331.33300000000003</v>
      </c>
      <c r="F31" s="3">
        <v>164864</v>
      </c>
      <c r="G31" s="4"/>
      <c r="H31" s="5"/>
      <c r="J31" s="2">
        <v>1731.894</v>
      </c>
      <c r="K31" s="6">
        <v>3.80334421426257</v>
      </c>
      <c r="L31">
        <v>4.3999999999999995</v>
      </c>
      <c r="M31">
        <v>1.7</v>
      </c>
      <c r="N31">
        <f t="shared" si="0"/>
        <v>108.45658567768831</v>
      </c>
      <c r="O31" s="5">
        <v>1.5</v>
      </c>
      <c r="Q31">
        <v>61643</v>
      </c>
      <c r="R31">
        <v>109534</v>
      </c>
    </row>
    <row r="32" spans="1:18" x14ac:dyDescent="0.2">
      <c r="A32" t="s">
        <v>33</v>
      </c>
      <c r="B32" s="2">
        <v>2897.598</v>
      </c>
      <c r="C32" s="2">
        <v>14.866</v>
      </c>
      <c r="D32" s="1">
        <v>57.06666666666667</v>
      </c>
      <c r="E32" s="2">
        <v>336.41800000000001</v>
      </c>
      <c r="F32" s="3">
        <v>165612</v>
      </c>
      <c r="G32" s="4"/>
      <c r="H32" s="5"/>
      <c r="J32" s="2">
        <v>1753.2860000000001</v>
      </c>
      <c r="K32" s="6">
        <v>3.82359169260633</v>
      </c>
      <c r="L32">
        <v>4.0999999999999996</v>
      </c>
      <c r="M32">
        <v>1.45</v>
      </c>
      <c r="N32">
        <f t="shared" si="0"/>
        <v>108.84974080076992</v>
      </c>
      <c r="O32" s="5">
        <v>1.94</v>
      </c>
      <c r="Q32">
        <v>62753</v>
      </c>
      <c r="R32">
        <v>109884</v>
      </c>
    </row>
    <row r="33" spans="1:18" x14ac:dyDescent="0.2">
      <c r="A33" t="s">
        <v>34</v>
      </c>
      <c r="B33" s="2">
        <v>2914.9929999999999</v>
      </c>
      <c r="C33" s="2">
        <v>14.907</v>
      </c>
      <c r="D33" s="1">
        <v>57.43333333333333</v>
      </c>
      <c r="E33" s="2">
        <v>344.21800000000002</v>
      </c>
      <c r="F33" s="3">
        <v>166419</v>
      </c>
      <c r="G33" s="4"/>
      <c r="H33" s="5"/>
      <c r="J33" s="2">
        <v>1775.3019999999999</v>
      </c>
      <c r="K33" s="6">
        <v>3.8280205775714302</v>
      </c>
      <c r="L33">
        <v>4.2333333333333334</v>
      </c>
      <c r="M33">
        <v>0.85</v>
      </c>
      <c r="N33">
        <f t="shared" si="0"/>
        <v>109.08104649997155</v>
      </c>
      <c r="O33" s="5">
        <v>2.3566666666666669</v>
      </c>
      <c r="Q33">
        <v>63311</v>
      </c>
      <c r="R33">
        <v>110186</v>
      </c>
    </row>
    <row r="34" spans="1:18" x14ac:dyDescent="0.2">
      <c r="A34" t="s">
        <v>35</v>
      </c>
      <c r="B34" s="2">
        <v>2903.6709999999998</v>
      </c>
      <c r="C34" s="2">
        <v>14.968</v>
      </c>
      <c r="D34" s="1">
        <v>57.533333333333331</v>
      </c>
      <c r="E34" s="2">
        <v>334.39</v>
      </c>
      <c r="F34" s="3">
        <v>167109</v>
      </c>
      <c r="G34" s="4"/>
      <c r="H34" s="5"/>
      <c r="J34" s="2">
        <v>1778.1859999999999</v>
      </c>
      <c r="K34" s="6">
        <v>3.8365457227296802</v>
      </c>
      <c r="L34">
        <v>4.0333333333333341</v>
      </c>
      <c r="M34">
        <v>-0.6</v>
      </c>
      <c r="N34">
        <f t="shared" si="0"/>
        <v>108.9174249302216</v>
      </c>
      <c r="O34" s="5">
        <v>2.4833333333333334</v>
      </c>
      <c r="Q34">
        <v>63561</v>
      </c>
      <c r="R34">
        <v>110483</v>
      </c>
    </row>
    <row r="35" spans="1:18" x14ac:dyDescent="0.2">
      <c r="A35" t="s">
        <v>36</v>
      </c>
      <c r="B35" s="2">
        <v>2927.665</v>
      </c>
      <c r="C35" s="2">
        <v>15.068</v>
      </c>
      <c r="D35" s="1">
        <v>57.533333333333331</v>
      </c>
      <c r="E35" s="2">
        <v>331.75900000000001</v>
      </c>
      <c r="F35" s="3">
        <v>167788</v>
      </c>
      <c r="G35" s="4"/>
      <c r="H35" s="5"/>
      <c r="J35" s="2">
        <v>1784.1010000000001</v>
      </c>
      <c r="K35" s="6">
        <v>3.81709570827323</v>
      </c>
      <c r="L35">
        <v>4.2</v>
      </c>
      <c r="M35">
        <v>0.72499999999999998</v>
      </c>
      <c r="N35">
        <f t="shared" si="0"/>
        <v>109.11483776290763</v>
      </c>
      <c r="O35" s="5">
        <v>2.6933333333333334</v>
      </c>
      <c r="Q35">
        <v>63765</v>
      </c>
      <c r="R35">
        <v>110788</v>
      </c>
    </row>
    <row r="36" spans="1:18" x14ac:dyDescent="0.2">
      <c r="A36" t="s">
        <v>37</v>
      </c>
      <c r="B36" s="2">
        <v>2925.0349999999999</v>
      </c>
      <c r="C36" s="2">
        <v>15.215999999999999</v>
      </c>
      <c r="D36" s="1">
        <v>57.56666666666667</v>
      </c>
      <c r="E36" s="2">
        <v>328.78800000000001</v>
      </c>
      <c r="F36" s="3">
        <v>168573</v>
      </c>
      <c r="G36" s="4"/>
      <c r="H36" s="5"/>
      <c r="J36" s="2">
        <v>1788.135</v>
      </c>
      <c r="K36" s="6">
        <v>3.8303817626454602</v>
      </c>
      <c r="L36">
        <v>4.1333333333333337</v>
      </c>
      <c r="M36">
        <v>-0.42499999999999999</v>
      </c>
      <c r="N36">
        <f t="shared" si="0"/>
        <v>108.99890324778454</v>
      </c>
      <c r="O36" s="5">
        <v>2.81</v>
      </c>
      <c r="Q36">
        <v>63950</v>
      </c>
      <c r="R36">
        <v>111113</v>
      </c>
    </row>
    <row r="37" spans="1:18" x14ac:dyDescent="0.2">
      <c r="A37" t="s">
        <v>38</v>
      </c>
      <c r="B37" s="2">
        <v>2973.1790000000001</v>
      </c>
      <c r="C37" s="2">
        <v>15.305</v>
      </c>
      <c r="D37" s="1">
        <v>57.366666666666667</v>
      </c>
      <c r="E37" s="2">
        <v>325.73899999999998</v>
      </c>
      <c r="F37" s="3">
        <v>169416</v>
      </c>
      <c r="G37" s="4"/>
      <c r="H37" s="5"/>
      <c r="J37" s="2">
        <v>1812.7860000000001</v>
      </c>
      <c r="K37" s="6">
        <v>3.84565240937332</v>
      </c>
      <c r="L37">
        <v>4.1333333333333329</v>
      </c>
      <c r="M37">
        <v>1.675</v>
      </c>
      <c r="N37">
        <f t="shared" si="0"/>
        <v>109.45533615513465</v>
      </c>
      <c r="O37" s="5">
        <v>2.9266666666666667</v>
      </c>
      <c r="Q37">
        <v>63894</v>
      </c>
      <c r="R37">
        <v>111431</v>
      </c>
    </row>
    <row r="38" spans="1:18" x14ac:dyDescent="0.2">
      <c r="A38" t="s">
        <v>39</v>
      </c>
      <c r="B38" s="2">
        <v>2992.2190000000001</v>
      </c>
      <c r="C38" s="2">
        <v>15.443</v>
      </c>
      <c r="D38" s="1">
        <v>57.366666666666667</v>
      </c>
      <c r="E38" s="2">
        <v>320.68200000000002</v>
      </c>
      <c r="F38" s="3">
        <v>170172</v>
      </c>
      <c r="G38" s="4"/>
      <c r="H38" s="5"/>
      <c r="J38" s="2">
        <v>1825.394</v>
      </c>
      <c r="K38" s="6">
        <v>3.8527494370669499</v>
      </c>
      <c r="L38">
        <v>3.9333333333333336</v>
      </c>
      <c r="M38">
        <v>1.2749999999999999</v>
      </c>
      <c r="N38">
        <f t="shared" si="0"/>
        <v>109.80422503912912</v>
      </c>
      <c r="O38" s="5">
        <v>2.9333333333333331</v>
      </c>
      <c r="Q38">
        <v>64098</v>
      </c>
      <c r="R38">
        <v>111720</v>
      </c>
    </row>
    <row r="39" spans="1:18" x14ac:dyDescent="0.2">
      <c r="A39" t="s">
        <v>40</v>
      </c>
      <c r="B39" s="2">
        <v>2985.663</v>
      </c>
      <c r="C39" s="2">
        <v>15.541</v>
      </c>
      <c r="D39" s="1">
        <v>57.166666666666664</v>
      </c>
      <c r="E39" s="2">
        <v>320.35700000000003</v>
      </c>
      <c r="F39" s="3">
        <v>170869</v>
      </c>
      <c r="G39" s="4"/>
      <c r="H39" s="5"/>
      <c r="J39" s="2">
        <v>1828.576</v>
      </c>
      <c r="K39" s="6">
        <v>3.8552577155825101</v>
      </c>
      <c r="L39">
        <v>4.1000000000000005</v>
      </c>
      <c r="M39">
        <v>-0.6</v>
      </c>
      <c r="N39">
        <f t="shared" si="0"/>
        <v>109.63951870157044</v>
      </c>
      <c r="O39" s="5">
        <v>3</v>
      </c>
      <c r="Q39">
        <v>64076</v>
      </c>
      <c r="R39">
        <v>112045</v>
      </c>
    </row>
    <row r="40" spans="1:18" x14ac:dyDescent="0.2">
      <c r="A40" t="s">
        <v>41</v>
      </c>
      <c r="B40" s="2">
        <v>3014.9189999999999</v>
      </c>
      <c r="C40" s="2">
        <v>15.667</v>
      </c>
      <c r="D40" s="1">
        <v>57.133333333333333</v>
      </c>
      <c r="E40" s="2">
        <v>327.70100000000002</v>
      </c>
      <c r="F40" s="3">
        <v>171638</v>
      </c>
      <c r="G40" s="4"/>
      <c r="H40" s="5"/>
      <c r="J40" s="2">
        <v>1843.0260000000001</v>
      </c>
      <c r="K40" s="6">
        <v>3.8150580087469401</v>
      </c>
      <c r="L40">
        <v>4.2333333333333334</v>
      </c>
      <c r="M40">
        <v>0.92500000000000004</v>
      </c>
      <c r="N40">
        <f t="shared" si="0"/>
        <v>109.89306008856781</v>
      </c>
      <c r="O40" s="5">
        <v>3.2333333333333334</v>
      </c>
      <c r="Q40">
        <v>64207</v>
      </c>
      <c r="R40">
        <v>112431</v>
      </c>
    </row>
    <row r="41" spans="1:18" x14ac:dyDescent="0.2">
      <c r="A41" t="s">
        <v>42</v>
      </c>
      <c r="B41" s="2">
        <v>2983.7269999999999</v>
      </c>
      <c r="C41" s="2">
        <v>15.747999999999999</v>
      </c>
      <c r="D41" s="1">
        <v>56.6</v>
      </c>
      <c r="E41" s="2">
        <v>302.50299999999999</v>
      </c>
      <c r="F41" s="3">
        <v>172417</v>
      </c>
      <c r="G41" s="4"/>
      <c r="H41" s="5"/>
      <c r="J41" s="2">
        <v>1843.7929999999999</v>
      </c>
      <c r="K41" s="6">
        <v>3.7710622034434902</v>
      </c>
      <c r="L41">
        <v>4.9333333333333336</v>
      </c>
      <c r="M41">
        <v>-1.7</v>
      </c>
      <c r="N41">
        <f t="shared" si="0"/>
        <v>109.4260145831914</v>
      </c>
      <c r="O41" s="5">
        <v>3.2533333333333334</v>
      </c>
      <c r="Q41">
        <v>63879</v>
      </c>
      <c r="R41">
        <v>112866</v>
      </c>
    </row>
    <row r="42" spans="1:18" x14ac:dyDescent="0.2">
      <c r="A42" t="s">
        <v>43</v>
      </c>
      <c r="B42" s="2">
        <v>2906.2739999999999</v>
      </c>
      <c r="C42" s="2">
        <v>15.943</v>
      </c>
      <c r="D42" s="1">
        <v>55.56666666666667</v>
      </c>
      <c r="E42" s="2">
        <v>282.096</v>
      </c>
      <c r="F42" s="3">
        <v>173064</v>
      </c>
      <c r="G42" s="4"/>
      <c r="H42" s="5"/>
      <c r="J42" s="2">
        <v>1818.2860000000001</v>
      </c>
      <c r="K42" s="6">
        <v>3.6815116655673101</v>
      </c>
      <c r="L42">
        <v>6.3</v>
      </c>
      <c r="M42">
        <v>-3.4</v>
      </c>
      <c r="N42">
        <f t="shared" si="0"/>
        <v>108.49589345923428</v>
      </c>
      <c r="O42" s="5">
        <v>1.8633333333333333</v>
      </c>
      <c r="Q42">
        <v>62950</v>
      </c>
      <c r="R42">
        <v>113236</v>
      </c>
    </row>
    <row r="43" spans="1:18" x14ac:dyDescent="0.2">
      <c r="A43" t="s">
        <v>44</v>
      </c>
      <c r="B43" s="2">
        <v>2925.3789999999999</v>
      </c>
      <c r="C43" s="2">
        <v>15.972</v>
      </c>
      <c r="D43" s="1">
        <v>55.266666666666666</v>
      </c>
      <c r="E43" s="2">
        <v>276.41300000000001</v>
      </c>
      <c r="F43" s="3">
        <v>173729</v>
      </c>
      <c r="G43" s="4"/>
      <c r="H43" s="5"/>
      <c r="J43" s="2">
        <v>1833.319</v>
      </c>
      <c r="K43" s="6">
        <v>3.6384252734026599</v>
      </c>
      <c r="L43">
        <v>7.3666666666666671</v>
      </c>
      <c r="M43">
        <v>0.42499999999999999</v>
      </c>
      <c r="N43">
        <f t="shared" si="0"/>
        <v>108.61117034603471</v>
      </c>
      <c r="O43" s="5">
        <v>0.94</v>
      </c>
      <c r="Q43">
        <v>62745</v>
      </c>
      <c r="R43">
        <v>113532</v>
      </c>
    </row>
    <row r="44" spans="1:18" x14ac:dyDescent="0.2">
      <c r="A44" t="s">
        <v>45</v>
      </c>
      <c r="B44" s="2">
        <v>2993.0680000000002</v>
      </c>
      <c r="C44" s="2">
        <v>15.984</v>
      </c>
      <c r="D44" s="1">
        <v>55.333333333333336</v>
      </c>
      <c r="E44" s="2">
        <v>297.62700000000001</v>
      </c>
      <c r="F44" s="3">
        <v>174483</v>
      </c>
      <c r="G44" s="4"/>
      <c r="H44" s="5"/>
      <c r="J44" s="2">
        <v>1863.7360000000001</v>
      </c>
      <c r="K44" s="6">
        <v>3.6082704101010599</v>
      </c>
      <c r="L44">
        <v>7.333333333333333</v>
      </c>
      <c r="M44">
        <v>3.25</v>
      </c>
      <c r="N44">
        <f t="shared" si="0"/>
        <v>109.49363610509624</v>
      </c>
      <c r="O44" s="5">
        <v>1.3233333333333333</v>
      </c>
      <c r="Q44">
        <v>62979</v>
      </c>
      <c r="R44">
        <v>113846</v>
      </c>
    </row>
    <row r="45" spans="1:18" x14ac:dyDescent="0.2">
      <c r="A45" t="s">
        <v>46</v>
      </c>
      <c r="B45" s="2">
        <v>3063.085</v>
      </c>
      <c r="C45" s="2">
        <v>15.977</v>
      </c>
      <c r="D45" s="1">
        <v>55.533333333333331</v>
      </c>
      <c r="E45" s="2">
        <v>323.00400000000002</v>
      </c>
      <c r="F45" s="3">
        <v>175288</v>
      </c>
      <c r="G45" s="4"/>
      <c r="H45" s="5"/>
      <c r="J45" s="2">
        <v>1889.0519999999999</v>
      </c>
      <c r="K45" s="6">
        <v>3.5887980135051398</v>
      </c>
      <c r="L45">
        <v>6.3666666666666671</v>
      </c>
      <c r="M45">
        <v>3.375</v>
      </c>
      <c r="N45">
        <f t="shared" si="0"/>
        <v>110.41748865973301</v>
      </c>
      <c r="O45" s="5">
        <v>2.1633333333333331</v>
      </c>
      <c r="Q45">
        <v>63498</v>
      </c>
      <c r="R45">
        <v>114283</v>
      </c>
    </row>
    <row r="46" spans="1:18" x14ac:dyDescent="0.2">
      <c r="A46" t="s">
        <v>47</v>
      </c>
      <c r="B46" s="2">
        <v>3121.9360000000001</v>
      </c>
      <c r="C46" s="2">
        <v>16.085999999999999</v>
      </c>
      <c r="D46" s="1">
        <v>55.733333333333334</v>
      </c>
      <c r="E46" s="2">
        <v>340.60399999999998</v>
      </c>
      <c r="F46" s="3">
        <v>176045</v>
      </c>
      <c r="G46" s="4"/>
      <c r="H46" s="5"/>
      <c r="J46" s="2">
        <v>1923.675</v>
      </c>
      <c r="K46" s="6">
        <v>3.5845023747236202</v>
      </c>
      <c r="L46">
        <v>5.833333333333333</v>
      </c>
      <c r="M46">
        <v>2.125</v>
      </c>
      <c r="N46">
        <f t="shared" si="0"/>
        <v>111.00408156823785</v>
      </c>
      <c r="O46" s="5">
        <v>2.57</v>
      </c>
      <c r="Q46">
        <v>63940</v>
      </c>
      <c r="R46">
        <v>114714</v>
      </c>
    </row>
    <row r="47" spans="1:18" x14ac:dyDescent="0.2">
      <c r="A47" t="s">
        <v>48</v>
      </c>
      <c r="B47" s="2">
        <v>3192.38</v>
      </c>
      <c r="C47" s="2">
        <v>16.152000000000001</v>
      </c>
      <c r="D47" s="1">
        <v>56.266666666666666</v>
      </c>
      <c r="E47" s="2">
        <v>367.09899999999999</v>
      </c>
      <c r="F47" s="3">
        <v>176727</v>
      </c>
      <c r="G47" s="4"/>
      <c r="H47" s="5"/>
      <c r="J47" s="2">
        <v>1953.384</v>
      </c>
      <c r="K47" s="6">
        <v>3.5742136381154399</v>
      </c>
      <c r="L47">
        <v>5.1000000000000005</v>
      </c>
      <c r="M47">
        <v>3</v>
      </c>
      <c r="N47">
        <f t="shared" si="0"/>
        <v>111.83661217999965</v>
      </c>
      <c r="O47" s="5">
        <v>3.0833333333333335</v>
      </c>
      <c r="Q47">
        <v>64772</v>
      </c>
      <c r="R47">
        <v>115139</v>
      </c>
    </row>
    <row r="48" spans="1:18" x14ac:dyDescent="0.2">
      <c r="A48" t="s">
        <v>49</v>
      </c>
      <c r="B48" s="2">
        <v>3194.6529999999998</v>
      </c>
      <c r="C48" s="2">
        <v>16.248999999999999</v>
      </c>
      <c r="D48" s="1">
        <v>56.133333333333333</v>
      </c>
      <c r="E48" s="2">
        <v>343.39100000000002</v>
      </c>
      <c r="F48" s="3">
        <v>177481</v>
      </c>
      <c r="G48" s="4"/>
      <c r="H48" s="5"/>
      <c r="J48" s="2">
        <v>1973.7909999999999</v>
      </c>
      <c r="K48" s="6">
        <v>3.5454315389743898</v>
      </c>
      <c r="L48">
        <v>5.2666666666666666</v>
      </c>
      <c r="M48">
        <v>-0.15</v>
      </c>
      <c r="N48">
        <f t="shared" si="0"/>
        <v>111.79467345043214</v>
      </c>
      <c r="O48" s="5">
        <v>3.5766666666666667</v>
      </c>
      <c r="Q48">
        <v>64875</v>
      </c>
      <c r="R48">
        <v>115551</v>
      </c>
    </row>
    <row r="49" spans="1:18" x14ac:dyDescent="0.2">
      <c r="A49" t="s">
        <v>50</v>
      </c>
      <c r="B49" s="2">
        <v>3203.759</v>
      </c>
      <c r="C49" s="2">
        <v>16.338000000000001</v>
      </c>
      <c r="D49" s="1">
        <v>56.033333333333331</v>
      </c>
      <c r="E49" s="2">
        <v>354.56700000000001</v>
      </c>
      <c r="F49" s="3">
        <v>178268</v>
      </c>
      <c r="G49" s="4"/>
      <c r="H49" s="5"/>
      <c r="J49" s="2">
        <v>1976.0139999999999</v>
      </c>
      <c r="K49" s="6">
        <v>3.5153707073463298</v>
      </c>
      <c r="L49">
        <v>5.6000000000000005</v>
      </c>
      <c r="M49">
        <v>-0.3</v>
      </c>
      <c r="N49">
        <f t="shared" si="0"/>
        <v>111.71082744534432</v>
      </c>
      <c r="O49" s="5">
        <v>3.99</v>
      </c>
      <c r="Q49">
        <v>64927</v>
      </c>
      <c r="R49">
        <v>115918</v>
      </c>
    </row>
    <row r="50" spans="1:18" x14ac:dyDescent="0.2">
      <c r="A50" t="s">
        <v>51</v>
      </c>
      <c r="B50" s="2">
        <v>3275.7570000000001</v>
      </c>
      <c r="C50" s="2">
        <v>16.36</v>
      </c>
      <c r="D50" s="1">
        <v>55.866666666666667</v>
      </c>
      <c r="E50" s="2">
        <v>390.21</v>
      </c>
      <c r="F50" s="3">
        <v>179319</v>
      </c>
      <c r="G50" s="4"/>
      <c r="H50" s="5"/>
      <c r="I50">
        <v>4</v>
      </c>
      <c r="J50" s="2">
        <v>1994.9179999999999</v>
      </c>
      <c r="K50" s="6">
        <v>3.49924109907007</v>
      </c>
      <c r="L50">
        <v>5.1333333333333337</v>
      </c>
      <c r="M50">
        <v>3.1</v>
      </c>
      <c r="N50">
        <f t="shared" si="0"/>
        <v>112.57658635804573</v>
      </c>
      <c r="O50" s="5">
        <v>3.9333333333333331</v>
      </c>
      <c r="Q50">
        <v>65213</v>
      </c>
      <c r="R50">
        <v>116708</v>
      </c>
    </row>
    <row r="51" spans="1:18" x14ac:dyDescent="0.2">
      <c r="A51" t="s">
        <v>52</v>
      </c>
      <c r="B51" s="2">
        <v>3258.0880000000002</v>
      </c>
      <c r="C51" s="2">
        <v>16.445</v>
      </c>
      <c r="D51" s="1">
        <v>56.43333333333333</v>
      </c>
      <c r="E51" s="2">
        <v>353.84100000000001</v>
      </c>
      <c r="F51" s="3">
        <v>180401</v>
      </c>
      <c r="G51" s="4"/>
      <c r="H51" s="5"/>
      <c r="I51">
        <v>3.5</v>
      </c>
      <c r="J51" s="2">
        <v>2020.0820000000001</v>
      </c>
      <c r="K51" s="6">
        <v>3.4719310650284898</v>
      </c>
      <c r="L51">
        <v>5.2333333333333334</v>
      </c>
      <c r="M51">
        <v>-1.35</v>
      </c>
      <c r="N51">
        <f t="shared" si="0"/>
        <v>112.19664037908733</v>
      </c>
      <c r="O51" s="5">
        <v>3.6966666666666668</v>
      </c>
      <c r="Q51">
        <v>66061</v>
      </c>
      <c r="R51">
        <v>117037</v>
      </c>
    </row>
    <row r="52" spans="1:18" x14ac:dyDescent="0.2">
      <c r="A52" t="s">
        <v>53</v>
      </c>
      <c r="B52" s="2">
        <v>3274.029</v>
      </c>
      <c r="C52" s="2">
        <v>16.507000000000001</v>
      </c>
      <c r="D52" s="1">
        <v>56.233333333333334</v>
      </c>
      <c r="E52" s="2">
        <v>352.94200000000001</v>
      </c>
      <c r="F52" s="3">
        <v>181301</v>
      </c>
      <c r="G52" s="4"/>
      <c r="H52" s="5"/>
      <c r="I52">
        <v>3</v>
      </c>
      <c r="J52" s="2">
        <v>2012.008</v>
      </c>
      <c r="K52" s="6">
        <v>3.4464404624674398</v>
      </c>
      <c r="L52">
        <v>5.5333333333333341</v>
      </c>
      <c r="M52">
        <v>2.5000000000000001E-2</v>
      </c>
      <c r="N52">
        <f t="shared" si="0"/>
        <v>112.20365266911102</v>
      </c>
      <c r="O52" s="5">
        <v>2.9366666666666665</v>
      </c>
      <c r="Q52">
        <v>66024</v>
      </c>
      <c r="R52">
        <v>117411</v>
      </c>
    </row>
    <row r="53" spans="1:18" x14ac:dyDescent="0.2">
      <c r="A53" t="s">
        <v>54</v>
      </c>
      <c r="B53" s="2">
        <v>3232.009</v>
      </c>
      <c r="C53" s="2">
        <v>16.579999999999998</v>
      </c>
      <c r="D53" s="1">
        <v>55.866666666666667</v>
      </c>
      <c r="E53" s="2">
        <v>313.84300000000002</v>
      </c>
      <c r="F53" s="3">
        <v>182019</v>
      </c>
      <c r="G53" s="4"/>
      <c r="H53" s="5"/>
      <c r="I53">
        <v>3</v>
      </c>
      <c r="J53" s="2">
        <v>2014.614</v>
      </c>
      <c r="K53" s="6">
        <v>3.4216098038627201</v>
      </c>
      <c r="L53">
        <v>6.2666666666666657</v>
      </c>
      <c r="M53">
        <v>-2.15</v>
      </c>
      <c r="N53">
        <f t="shared" si="0"/>
        <v>111.60055803601455</v>
      </c>
      <c r="O53" s="5">
        <v>2.2966666666666669</v>
      </c>
      <c r="Q53">
        <v>65840</v>
      </c>
      <c r="R53">
        <v>117824</v>
      </c>
    </row>
    <row r="54" spans="1:18" x14ac:dyDescent="0.2">
      <c r="A54" t="s">
        <v>55</v>
      </c>
      <c r="B54" s="2">
        <v>3253.826</v>
      </c>
      <c r="C54" s="2">
        <v>16.611000000000001</v>
      </c>
      <c r="D54" s="1">
        <v>55.6</v>
      </c>
      <c r="E54" s="2">
        <v>321.988</v>
      </c>
      <c r="F54" s="3">
        <v>182634</v>
      </c>
      <c r="G54" s="4"/>
      <c r="H54" s="5"/>
      <c r="I54">
        <v>2</v>
      </c>
      <c r="J54" s="2">
        <v>2013.865</v>
      </c>
      <c r="K54" s="6">
        <v>3.4125998007807699</v>
      </c>
      <c r="L54">
        <v>6.8</v>
      </c>
      <c r="M54">
        <v>0.72499999999999998</v>
      </c>
      <c r="N54">
        <f t="shared" si="0"/>
        <v>111.80283404745482</v>
      </c>
      <c r="O54" s="5">
        <v>2.0033333333333334</v>
      </c>
      <c r="Q54">
        <v>65738</v>
      </c>
      <c r="R54">
        <v>118254</v>
      </c>
    </row>
    <row r="55" spans="1:18" x14ac:dyDescent="0.2">
      <c r="A55" t="s">
        <v>56</v>
      </c>
      <c r="B55" s="2">
        <v>3309.0590000000002</v>
      </c>
      <c r="C55" s="2">
        <v>16.609000000000002</v>
      </c>
      <c r="D55" s="1">
        <v>55.333333333333336</v>
      </c>
      <c r="E55" s="2">
        <v>344.54899999999998</v>
      </c>
      <c r="F55" s="3">
        <v>183337</v>
      </c>
      <c r="G55" s="4"/>
      <c r="H55" s="5"/>
      <c r="I55">
        <v>0.5</v>
      </c>
      <c r="J55" s="2">
        <v>2043.835</v>
      </c>
      <c r="K55" s="6">
        <v>3.4218753495339298</v>
      </c>
      <c r="L55">
        <v>7</v>
      </c>
      <c r="M55">
        <v>2.4750000000000001</v>
      </c>
      <c r="N55">
        <f t="shared" si="0"/>
        <v>112.49461408312345</v>
      </c>
      <c r="O55" s="5">
        <v>1.7333333333333334</v>
      </c>
      <c r="Q55">
        <v>65605</v>
      </c>
      <c r="R55">
        <v>118636</v>
      </c>
    </row>
    <row r="56" spans="1:18" x14ac:dyDescent="0.2">
      <c r="A56" t="s">
        <v>57</v>
      </c>
      <c r="B56" s="2">
        <v>3372.5810000000001</v>
      </c>
      <c r="C56" s="2">
        <v>16.667999999999999</v>
      </c>
      <c r="D56" s="1">
        <v>55.166666666666664</v>
      </c>
      <c r="E56" s="2">
        <v>371.33499999999998</v>
      </c>
      <c r="F56" s="3">
        <v>184103</v>
      </c>
      <c r="G56" s="4"/>
      <c r="H56" s="5"/>
      <c r="I56">
        <v>1.5</v>
      </c>
      <c r="J56" s="2">
        <v>2053.7739999999999</v>
      </c>
      <c r="K56" s="6">
        <v>3.4114751902828</v>
      </c>
      <c r="L56">
        <v>6.7666666666666666</v>
      </c>
      <c r="M56">
        <v>2.375</v>
      </c>
      <c r="N56">
        <f t="shared" si="0"/>
        <v>113.16255085424199</v>
      </c>
      <c r="O56" s="5">
        <v>1.6833333333333333</v>
      </c>
      <c r="Q56">
        <v>65667</v>
      </c>
      <c r="R56">
        <v>119001</v>
      </c>
    </row>
    <row r="57" spans="1:18" x14ac:dyDescent="0.2">
      <c r="A57" t="s">
        <v>58</v>
      </c>
      <c r="B57" s="2">
        <v>3438.721</v>
      </c>
      <c r="C57" s="2">
        <v>16.686</v>
      </c>
      <c r="D57" s="1">
        <v>55.366666666666667</v>
      </c>
      <c r="E57" s="2">
        <v>377.47899999999998</v>
      </c>
      <c r="F57" s="3">
        <v>184894</v>
      </c>
      <c r="G57" s="4"/>
      <c r="H57" s="5"/>
      <c r="I57">
        <v>2.5</v>
      </c>
      <c r="J57" s="2">
        <v>2095.0839999999998</v>
      </c>
      <c r="K57" s="6">
        <v>3.3996675760764798</v>
      </c>
      <c r="L57">
        <v>6.2</v>
      </c>
      <c r="M57">
        <v>2.2000000000000002</v>
      </c>
      <c r="N57">
        <f t="shared" si="0"/>
        <v>113.78494488394033</v>
      </c>
      <c r="O57" s="5">
        <v>2.4</v>
      </c>
      <c r="Q57">
        <v>65967</v>
      </c>
      <c r="R57">
        <v>119190</v>
      </c>
    </row>
    <row r="58" spans="1:18" x14ac:dyDescent="0.2">
      <c r="A58" t="s">
        <v>59</v>
      </c>
      <c r="B58" s="2">
        <v>3500.0540000000001</v>
      </c>
      <c r="C58" s="2">
        <v>16.757999999999999</v>
      </c>
      <c r="D58" s="1">
        <v>55.6</v>
      </c>
      <c r="E58" s="2">
        <v>397.83100000000002</v>
      </c>
      <c r="F58" s="3">
        <v>185553</v>
      </c>
      <c r="G58" s="4"/>
      <c r="H58" s="5"/>
      <c r="I58">
        <v>2.75</v>
      </c>
      <c r="J58" s="2">
        <v>2117.277</v>
      </c>
      <c r="K58" s="6">
        <v>3.3763124813491401</v>
      </c>
      <c r="L58">
        <v>5.6333333333333329</v>
      </c>
      <c r="M58">
        <v>2.0750000000000002</v>
      </c>
      <c r="N58">
        <f t="shared" si="0"/>
        <v>114.37520428552575</v>
      </c>
      <c r="O58" s="5">
        <v>2.4566666666666666</v>
      </c>
      <c r="Q58">
        <v>66380</v>
      </c>
      <c r="R58">
        <v>119379</v>
      </c>
    </row>
    <row r="59" spans="1:18" x14ac:dyDescent="0.2">
      <c r="A59" t="s">
        <v>60</v>
      </c>
      <c r="B59" s="2">
        <v>3531.683</v>
      </c>
      <c r="C59" s="2">
        <v>16.818000000000001</v>
      </c>
      <c r="D59" s="1">
        <v>55.56666666666667</v>
      </c>
      <c r="E59" s="2">
        <v>394.69400000000002</v>
      </c>
      <c r="F59" s="3">
        <v>186203</v>
      </c>
      <c r="G59" s="4"/>
      <c r="H59" s="5"/>
      <c r="I59">
        <v>2.75</v>
      </c>
      <c r="J59" s="2">
        <v>2143.306</v>
      </c>
      <c r="K59" s="6">
        <v>3.35981017605731</v>
      </c>
      <c r="L59">
        <v>5.5333333333333341</v>
      </c>
      <c r="M59">
        <v>0.8</v>
      </c>
      <c r="N59">
        <f t="shared" si="0"/>
        <v>114.6039546940968</v>
      </c>
      <c r="O59" s="5">
        <v>2.6066666666666669</v>
      </c>
      <c r="Q59">
        <v>66577</v>
      </c>
      <c r="R59">
        <v>119819</v>
      </c>
    </row>
    <row r="60" spans="1:18" x14ac:dyDescent="0.2">
      <c r="A60" t="s">
        <v>61</v>
      </c>
      <c r="B60" s="2">
        <v>3575.07</v>
      </c>
      <c r="C60" s="2">
        <v>16.863</v>
      </c>
      <c r="D60" s="1">
        <v>55.56666666666667</v>
      </c>
      <c r="E60" s="2">
        <v>401.40100000000001</v>
      </c>
      <c r="F60" s="3">
        <v>186926</v>
      </c>
      <c r="G60" s="4"/>
      <c r="H60" s="5"/>
      <c r="I60">
        <v>2.75</v>
      </c>
      <c r="J60" s="2">
        <v>2160.58</v>
      </c>
      <c r="K60" s="6">
        <v>3.3490200785953199</v>
      </c>
      <c r="L60">
        <v>5.5666666666666673</v>
      </c>
      <c r="M60">
        <v>1.5</v>
      </c>
      <c r="N60">
        <f t="shared" si="0"/>
        <v>115.03371952419965</v>
      </c>
      <c r="O60" s="5">
        <v>2.8466666666666667</v>
      </c>
      <c r="Q60">
        <v>66881</v>
      </c>
      <c r="R60">
        <v>120368</v>
      </c>
    </row>
    <row r="61" spans="1:18" x14ac:dyDescent="0.2">
      <c r="A61" t="s">
        <v>62</v>
      </c>
      <c r="B61" s="2">
        <v>3586.8270000000002</v>
      </c>
      <c r="C61" s="2">
        <v>16.914000000000001</v>
      </c>
      <c r="D61" s="1">
        <v>55.3</v>
      </c>
      <c r="E61" s="2">
        <v>389.65699999999998</v>
      </c>
      <c r="F61" s="3">
        <v>187680</v>
      </c>
      <c r="G61" s="4"/>
      <c r="H61" s="5"/>
      <c r="I61">
        <v>3</v>
      </c>
      <c r="J61" s="2">
        <v>2191.15</v>
      </c>
      <c r="K61" s="6">
        <v>3.3247287839415902</v>
      </c>
      <c r="L61">
        <v>5.5333333333333341</v>
      </c>
      <c r="M61">
        <v>0.125</v>
      </c>
      <c r="N61">
        <f t="shared" si="0"/>
        <v>115.06966756155096</v>
      </c>
      <c r="O61" s="5">
        <v>2.9233333333333333</v>
      </c>
      <c r="Q61">
        <v>66969</v>
      </c>
      <c r="R61">
        <v>121046</v>
      </c>
    </row>
    <row r="62" spans="1:18" x14ac:dyDescent="0.2">
      <c r="A62" t="s">
        <v>63</v>
      </c>
      <c r="B62" s="2">
        <v>3625.9810000000002</v>
      </c>
      <c r="C62" s="2">
        <v>16.963000000000001</v>
      </c>
      <c r="D62" s="1">
        <v>55.2</v>
      </c>
      <c r="E62" s="2">
        <v>410.15800000000002</v>
      </c>
      <c r="F62" s="3">
        <v>188299</v>
      </c>
      <c r="G62" s="4"/>
      <c r="H62" s="5"/>
      <c r="I62">
        <v>3</v>
      </c>
      <c r="J62" s="2">
        <v>2206.4989999999998</v>
      </c>
      <c r="K62" s="6">
        <v>3.3128089563447798</v>
      </c>
      <c r="L62">
        <v>5.7666666666666666</v>
      </c>
      <c r="M62">
        <v>0.9</v>
      </c>
      <c r="N62">
        <f t="shared" si="0"/>
        <v>115.32857431356446</v>
      </c>
      <c r="O62" s="5">
        <v>2.9666666666666668</v>
      </c>
      <c r="Q62">
        <v>67149</v>
      </c>
      <c r="R62">
        <v>121640</v>
      </c>
    </row>
    <row r="63" spans="1:18" x14ac:dyDescent="0.2">
      <c r="A63" t="s">
        <v>64</v>
      </c>
      <c r="B63" s="2">
        <v>3666.6689999999999</v>
      </c>
      <c r="C63" s="2">
        <v>16.989999999999998</v>
      </c>
      <c r="D63" s="1">
        <v>55.366666666666667</v>
      </c>
      <c r="E63" s="2">
        <v>416.68299999999999</v>
      </c>
      <c r="F63" s="3">
        <v>188906</v>
      </c>
      <c r="G63" s="4"/>
      <c r="H63" s="5"/>
      <c r="I63">
        <v>3</v>
      </c>
      <c r="J63" s="2">
        <v>2227.3200000000002</v>
      </c>
      <c r="K63" s="6">
        <v>3.3031211477096898</v>
      </c>
      <c r="L63">
        <v>5.7333333333333343</v>
      </c>
      <c r="M63">
        <v>1.425</v>
      </c>
      <c r="N63">
        <f t="shared" si="0"/>
        <v>115.73943235955652</v>
      </c>
      <c r="O63" s="5">
        <v>2.9633333333333334</v>
      </c>
      <c r="Q63">
        <v>67635</v>
      </c>
      <c r="R63">
        <v>122167</v>
      </c>
    </row>
    <row r="64" spans="1:18" x14ac:dyDescent="0.2">
      <c r="A64" t="s">
        <v>65</v>
      </c>
      <c r="B64" s="2">
        <v>3747.2779999999998</v>
      </c>
      <c r="C64" s="2">
        <v>17.071000000000002</v>
      </c>
      <c r="D64" s="1">
        <v>55.43333333333333</v>
      </c>
      <c r="E64" s="2">
        <v>429.512</v>
      </c>
      <c r="F64" s="3">
        <v>189631</v>
      </c>
      <c r="G64" s="4"/>
      <c r="H64" s="5"/>
      <c r="I64">
        <v>3.5</v>
      </c>
      <c r="J64" s="2">
        <v>2257.5360000000001</v>
      </c>
      <c r="K64" s="6">
        <v>3.2740495051870599</v>
      </c>
      <c r="L64">
        <v>5.5</v>
      </c>
      <c r="M64">
        <v>2.85</v>
      </c>
      <c r="N64">
        <f t="shared" si="0"/>
        <v>116.56407581511836</v>
      </c>
      <c r="O64" s="5">
        <v>3.33</v>
      </c>
      <c r="Q64">
        <v>67996</v>
      </c>
      <c r="R64">
        <v>122670</v>
      </c>
    </row>
    <row r="65" spans="1:20" x14ac:dyDescent="0.2">
      <c r="A65" t="s">
        <v>66</v>
      </c>
      <c r="B65" s="2">
        <v>3771.8449999999998</v>
      </c>
      <c r="C65" s="2">
        <v>17.135000000000002</v>
      </c>
      <c r="D65" s="1">
        <v>55.4</v>
      </c>
      <c r="E65" s="2">
        <v>434.72699999999998</v>
      </c>
      <c r="F65" s="3">
        <v>190362</v>
      </c>
      <c r="G65" s="4"/>
      <c r="H65" s="5"/>
      <c r="I65">
        <v>3.25</v>
      </c>
      <c r="J65" s="2">
        <v>2276.3470000000002</v>
      </c>
      <c r="K65" s="6">
        <v>3.2583364188464499</v>
      </c>
      <c r="L65">
        <v>5.5666666666666664</v>
      </c>
      <c r="M65">
        <v>0.72499999999999998</v>
      </c>
      <c r="N65">
        <f t="shared" si="0"/>
        <v>116.77534820253327</v>
      </c>
      <c r="O65" s="5">
        <v>3.4533333333333331</v>
      </c>
      <c r="Q65">
        <v>68258</v>
      </c>
      <c r="R65">
        <v>123189</v>
      </c>
    </row>
    <row r="66" spans="1:20" x14ac:dyDescent="0.2">
      <c r="A66" t="s">
        <v>67</v>
      </c>
      <c r="B66" s="2">
        <v>3851.366</v>
      </c>
      <c r="C66" s="2">
        <v>17.216000000000001</v>
      </c>
      <c r="D66" s="1">
        <v>55.466666666666669</v>
      </c>
      <c r="E66" s="2">
        <v>450.99700000000001</v>
      </c>
      <c r="F66" s="3">
        <v>190954</v>
      </c>
      <c r="G66" s="4"/>
      <c r="H66" s="5">
        <v>2.5033333333333334</v>
      </c>
      <c r="I66">
        <v>3.5</v>
      </c>
      <c r="J66" s="2">
        <v>2321.0239999999999</v>
      </c>
      <c r="K66" s="6">
        <v>3.2211238696354201</v>
      </c>
      <c r="L66">
        <v>5.4666666666666659</v>
      </c>
      <c r="M66">
        <v>2.8250000000000002</v>
      </c>
      <c r="N66">
        <f t="shared" si="0"/>
        <v>117.60007409921366</v>
      </c>
      <c r="O66" s="5">
        <v>3.4633333333333334</v>
      </c>
      <c r="P66">
        <v>38.4</v>
      </c>
      <c r="Q66">
        <v>68614</v>
      </c>
      <c r="R66">
        <v>123708</v>
      </c>
      <c r="T66" s="1"/>
    </row>
    <row r="67" spans="1:20" x14ac:dyDescent="0.2">
      <c r="A67" t="s">
        <v>68</v>
      </c>
      <c r="B67" s="2">
        <v>3893.2959999999998</v>
      </c>
      <c r="C67" s="2">
        <v>17.253</v>
      </c>
      <c r="D67" s="1">
        <v>55.866666666666667</v>
      </c>
      <c r="E67" s="2">
        <v>449.37299999999999</v>
      </c>
      <c r="F67" s="3">
        <v>191560</v>
      </c>
      <c r="G67" s="4"/>
      <c r="H67" s="5">
        <v>2.5233333333333334</v>
      </c>
      <c r="I67">
        <v>3.5</v>
      </c>
      <c r="J67" s="2">
        <v>2362.0810000000001</v>
      </c>
      <c r="K67" s="6">
        <v>3.2182641237541101</v>
      </c>
      <c r="L67">
        <v>5.1999999999999993</v>
      </c>
      <c r="M67">
        <v>1</v>
      </c>
      <c r="N67">
        <f t="shared" si="0"/>
        <v>117.89407428446168</v>
      </c>
      <c r="O67" s="5">
        <v>3.49</v>
      </c>
      <c r="P67">
        <v>38.6</v>
      </c>
      <c r="Q67">
        <v>69402</v>
      </c>
      <c r="R67">
        <v>124203</v>
      </c>
      <c r="T67" s="1"/>
    </row>
    <row r="68" spans="1:20" x14ac:dyDescent="0.2">
      <c r="A68" t="s">
        <v>69</v>
      </c>
      <c r="B68" s="2">
        <v>3954.1210000000001</v>
      </c>
      <c r="C68" s="2">
        <v>17.309999999999999</v>
      </c>
      <c r="D68" s="1">
        <v>55.7</v>
      </c>
      <c r="E68" s="2">
        <v>459.86099999999999</v>
      </c>
      <c r="F68" s="3">
        <v>192256</v>
      </c>
      <c r="G68" s="4"/>
      <c r="H68" s="5">
        <v>2.5499999999999998</v>
      </c>
      <c r="I68">
        <v>2.75</v>
      </c>
      <c r="J68" s="2">
        <v>2405.7130000000002</v>
      </c>
      <c r="K68" s="6">
        <v>3.1999620053212801</v>
      </c>
      <c r="L68">
        <v>5</v>
      </c>
      <c r="M68">
        <v>1.7250000000000001</v>
      </c>
      <c r="N68">
        <f t="shared" si="0"/>
        <v>118.40249247981342</v>
      </c>
      <c r="O68" s="5">
        <v>3.4566666666666666</v>
      </c>
      <c r="P68">
        <v>38.5</v>
      </c>
      <c r="Q68">
        <v>69480</v>
      </c>
      <c r="R68">
        <v>124739</v>
      </c>
      <c r="T68" s="1"/>
    </row>
    <row r="69" spans="1:20" x14ac:dyDescent="0.2">
      <c r="A69" t="s">
        <v>70</v>
      </c>
      <c r="B69" s="2">
        <v>3966.335</v>
      </c>
      <c r="C69" s="2">
        <v>17.367000000000001</v>
      </c>
      <c r="D69" s="1">
        <v>55.633333333333333</v>
      </c>
      <c r="E69" s="2">
        <v>464.22899999999998</v>
      </c>
      <c r="F69" s="3">
        <v>192938</v>
      </c>
      <c r="G69" s="4"/>
      <c r="H69" s="5">
        <v>2.5633333333333335</v>
      </c>
      <c r="I69">
        <v>4</v>
      </c>
      <c r="J69" s="2">
        <v>2412.58</v>
      </c>
      <c r="K69" s="6">
        <v>3.2021350666562101</v>
      </c>
      <c r="L69">
        <v>4.9666666666666659</v>
      </c>
      <c r="M69">
        <v>0</v>
      </c>
      <c r="N69">
        <f t="shared" si="0"/>
        <v>118.40249247981342</v>
      </c>
      <c r="O69" s="5">
        <v>3.5766666666666667</v>
      </c>
      <c r="P69">
        <v>38.6</v>
      </c>
      <c r="Q69">
        <v>69710</v>
      </c>
      <c r="R69">
        <v>125289</v>
      </c>
      <c r="T69" s="1"/>
    </row>
    <row r="70" spans="1:20" x14ac:dyDescent="0.2">
      <c r="A70" t="s">
        <v>71</v>
      </c>
      <c r="B70" s="2">
        <v>4062.3110000000001</v>
      </c>
      <c r="C70" s="2">
        <v>17.422999999999998</v>
      </c>
      <c r="D70" s="1">
        <v>55.766666666666666</v>
      </c>
      <c r="E70" s="2">
        <v>508.49099999999999</v>
      </c>
      <c r="F70" s="3">
        <v>193467</v>
      </c>
      <c r="G70" s="4"/>
      <c r="H70" s="5">
        <v>2.5933333333333333</v>
      </c>
      <c r="I70">
        <v>4</v>
      </c>
      <c r="J70" s="2">
        <v>2466.3820000000001</v>
      </c>
      <c r="K70" s="6">
        <v>3.1932534388033398</v>
      </c>
      <c r="L70">
        <v>4.8999999999999995</v>
      </c>
      <c r="M70">
        <v>3.15</v>
      </c>
      <c r="N70">
        <f t="shared" si="0"/>
        <v>119.33491210809196</v>
      </c>
      <c r="O70" s="5">
        <v>3.9766666666666666</v>
      </c>
      <c r="P70">
        <v>38.700000000000003</v>
      </c>
      <c r="Q70">
        <v>70188</v>
      </c>
      <c r="R70">
        <v>125814</v>
      </c>
      <c r="T70" s="1"/>
    </row>
    <row r="71" spans="1:20" x14ac:dyDescent="0.2">
      <c r="A71" t="s">
        <v>72</v>
      </c>
      <c r="B71" s="2">
        <v>4113.6289999999999</v>
      </c>
      <c r="C71" s="2">
        <v>17.510999999999999</v>
      </c>
      <c r="D71" s="1">
        <v>56.1</v>
      </c>
      <c r="E71" s="2">
        <v>509.827</v>
      </c>
      <c r="F71" s="3">
        <v>193994</v>
      </c>
      <c r="G71" s="4"/>
      <c r="H71" s="5">
        <v>2.6166666666666667</v>
      </c>
      <c r="I71">
        <v>4.13</v>
      </c>
      <c r="J71" s="2">
        <v>2493.5839999999998</v>
      </c>
      <c r="K71" s="6">
        <v>3.1682976371014102</v>
      </c>
      <c r="L71">
        <v>4.6666666666666661</v>
      </c>
      <c r="M71">
        <v>1.5</v>
      </c>
      <c r="N71">
        <f t="shared" ref="N71:N134" si="1">N70*(1+M71/400)</f>
        <v>119.78241802849729</v>
      </c>
      <c r="O71" s="5">
        <v>4.08</v>
      </c>
      <c r="P71">
        <v>38.700000000000003</v>
      </c>
      <c r="Q71">
        <v>70897</v>
      </c>
      <c r="R71">
        <v>126325</v>
      </c>
      <c r="T71" s="1"/>
    </row>
    <row r="72" spans="1:20" x14ac:dyDescent="0.2">
      <c r="A72" t="s">
        <v>73</v>
      </c>
      <c r="B72" s="2">
        <v>4205.0860000000002</v>
      </c>
      <c r="C72" s="2">
        <v>17.576000000000001</v>
      </c>
      <c r="D72" s="1">
        <v>56.333333333333336</v>
      </c>
      <c r="E72" s="2">
        <v>527.57799999999997</v>
      </c>
      <c r="F72" s="3">
        <v>194647</v>
      </c>
      <c r="G72" s="4"/>
      <c r="H72" s="5">
        <v>2.64</v>
      </c>
      <c r="I72">
        <v>4.13</v>
      </c>
      <c r="J72" s="2">
        <v>2536.4299999999998</v>
      </c>
      <c r="K72" s="6">
        <v>3.1389672547723002</v>
      </c>
      <c r="L72">
        <v>4.3666666666666671</v>
      </c>
      <c r="M72">
        <v>2.375</v>
      </c>
      <c r="N72">
        <f t="shared" si="1"/>
        <v>120.49362613554149</v>
      </c>
      <c r="O72" s="5">
        <v>4.0766666666666671</v>
      </c>
      <c r="P72">
        <v>38.6</v>
      </c>
      <c r="Q72">
        <v>71369</v>
      </c>
      <c r="R72">
        <v>126745</v>
      </c>
      <c r="T72" s="1"/>
    </row>
    <row r="73" spans="1:20" x14ac:dyDescent="0.2">
      <c r="A73" t="s">
        <v>74</v>
      </c>
      <c r="B73" s="2">
        <v>4301.973</v>
      </c>
      <c r="C73" s="2">
        <v>17.63</v>
      </c>
      <c r="D73" s="1">
        <v>56.466666666666669</v>
      </c>
      <c r="E73" s="2">
        <v>531.072</v>
      </c>
      <c r="F73" s="3">
        <v>195279</v>
      </c>
      <c r="G73" s="4"/>
      <c r="H73" s="5">
        <v>2.6666666666666665</v>
      </c>
      <c r="I73">
        <v>4.63</v>
      </c>
      <c r="J73" s="2">
        <v>2607.7359999999999</v>
      </c>
      <c r="K73" s="6">
        <v>3.1229690726679502</v>
      </c>
      <c r="L73">
        <v>4.1000000000000005</v>
      </c>
      <c r="M73">
        <v>2.8250000000000002</v>
      </c>
      <c r="N73">
        <f t="shared" si="1"/>
        <v>121.34461237012376</v>
      </c>
      <c r="O73" s="5">
        <v>4.166666666666667</v>
      </c>
      <c r="P73">
        <v>38.6</v>
      </c>
      <c r="Q73">
        <v>71827</v>
      </c>
      <c r="R73">
        <v>127169</v>
      </c>
      <c r="T73" s="1"/>
    </row>
    <row r="74" spans="1:20" x14ac:dyDescent="0.2">
      <c r="A74" t="s">
        <v>75</v>
      </c>
      <c r="B74" s="2">
        <v>4406.6930000000002</v>
      </c>
      <c r="C74" s="2">
        <v>17.765999999999998</v>
      </c>
      <c r="D74" s="1">
        <v>56.633333333333333</v>
      </c>
      <c r="E74" s="2">
        <v>573.50199999999995</v>
      </c>
      <c r="F74" s="3">
        <v>195763</v>
      </c>
      <c r="G74" s="4"/>
      <c r="H74" s="5">
        <v>2.69</v>
      </c>
      <c r="I74">
        <v>4.75</v>
      </c>
      <c r="J74" s="2">
        <v>2646.2330000000002</v>
      </c>
      <c r="K74" s="6">
        <v>3.0594829430937001</v>
      </c>
      <c r="L74">
        <v>3.8666666666666667</v>
      </c>
      <c r="M74">
        <v>2.95</v>
      </c>
      <c r="N74">
        <f t="shared" si="1"/>
        <v>122.23952888635341</v>
      </c>
      <c r="O74" s="5">
        <v>4.5599999999999996</v>
      </c>
      <c r="P74">
        <v>38.700000000000003</v>
      </c>
      <c r="Q74">
        <v>72173</v>
      </c>
      <c r="R74">
        <v>127511</v>
      </c>
      <c r="T74" s="1"/>
    </row>
    <row r="75" spans="1:20" x14ac:dyDescent="0.2">
      <c r="A75" t="s">
        <v>76</v>
      </c>
      <c r="B75" s="2">
        <v>4421.7470000000003</v>
      </c>
      <c r="C75" s="2">
        <v>17.911000000000001</v>
      </c>
      <c r="D75" s="1">
        <v>56.8</v>
      </c>
      <c r="E75" s="2">
        <v>565.01199999999994</v>
      </c>
      <c r="F75" s="3">
        <v>196277</v>
      </c>
      <c r="G75" s="4"/>
      <c r="H75" s="5">
        <v>2.72</v>
      </c>
      <c r="I75">
        <v>5.5</v>
      </c>
      <c r="J75" s="2">
        <v>2653.0140000000001</v>
      </c>
      <c r="K75" s="6">
        <v>3.05071387343795</v>
      </c>
      <c r="L75">
        <v>3.8333333333333335</v>
      </c>
      <c r="M75">
        <v>0.27500000000000002</v>
      </c>
      <c r="N75">
        <f t="shared" si="1"/>
        <v>122.32356856246277</v>
      </c>
      <c r="O75" s="5">
        <v>4.9133333333333331</v>
      </c>
      <c r="P75">
        <v>38.6</v>
      </c>
      <c r="Q75">
        <v>72594</v>
      </c>
      <c r="R75">
        <v>127869</v>
      </c>
      <c r="T75" s="1"/>
    </row>
    <row r="76" spans="1:20" x14ac:dyDescent="0.2">
      <c r="A76" t="s">
        <v>77</v>
      </c>
      <c r="B76" s="2">
        <v>4459.1949999999997</v>
      </c>
      <c r="C76" s="2">
        <v>18.047999999999998</v>
      </c>
      <c r="D76" s="1">
        <v>57</v>
      </c>
      <c r="E76" s="2">
        <v>560.84400000000005</v>
      </c>
      <c r="F76" s="3">
        <v>196877</v>
      </c>
      <c r="G76" s="4"/>
      <c r="H76" s="5">
        <v>2.75</v>
      </c>
      <c r="I76">
        <v>5.75</v>
      </c>
      <c r="J76" s="2">
        <v>2683.3090000000002</v>
      </c>
      <c r="K76" s="6">
        <v>3.0175539763066501</v>
      </c>
      <c r="L76">
        <v>3.7666666666666671</v>
      </c>
      <c r="M76">
        <v>0.8</v>
      </c>
      <c r="N76">
        <f t="shared" si="1"/>
        <v>122.5682156995877</v>
      </c>
      <c r="O76" s="5">
        <v>5.41</v>
      </c>
      <c r="P76">
        <v>38.4</v>
      </c>
      <c r="Q76">
        <v>73088</v>
      </c>
      <c r="R76">
        <v>128234</v>
      </c>
      <c r="T76" s="1"/>
    </row>
    <row r="77" spans="1:20" x14ac:dyDescent="0.2">
      <c r="A77" t="s">
        <v>78</v>
      </c>
      <c r="B77" s="2">
        <v>4495.777</v>
      </c>
      <c r="C77" s="2">
        <v>18.187000000000001</v>
      </c>
      <c r="D77" s="1">
        <v>57.266666666666666</v>
      </c>
      <c r="E77" s="2">
        <v>564.13099999999997</v>
      </c>
      <c r="F77" s="3">
        <v>197481</v>
      </c>
      <c r="G77" s="4"/>
      <c r="H77" s="5">
        <v>2.7766666666666668</v>
      </c>
      <c r="I77">
        <v>5</v>
      </c>
      <c r="J77" s="2">
        <v>2694.4879999999998</v>
      </c>
      <c r="K77" s="6">
        <v>3.0124293956728501</v>
      </c>
      <c r="L77">
        <v>3.7000000000000006</v>
      </c>
      <c r="M77">
        <v>0.375</v>
      </c>
      <c r="N77">
        <f t="shared" si="1"/>
        <v>122.68312340180607</v>
      </c>
      <c r="O77" s="5">
        <v>5.5633333333333335</v>
      </c>
      <c r="P77">
        <v>38.299999999999997</v>
      </c>
      <c r="Q77">
        <v>73657</v>
      </c>
      <c r="R77">
        <v>128617</v>
      </c>
      <c r="T77" s="1"/>
    </row>
    <row r="78" spans="1:20" x14ac:dyDescent="0.2">
      <c r="A78" t="s">
        <v>79</v>
      </c>
      <c r="B78" s="2">
        <v>4535.5910000000003</v>
      </c>
      <c r="C78" s="2">
        <v>18.239999999999998</v>
      </c>
      <c r="D78" s="1">
        <v>56.966666666666669</v>
      </c>
      <c r="E78" s="2">
        <v>550.28599999999994</v>
      </c>
      <c r="F78" s="3">
        <v>197967</v>
      </c>
      <c r="G78" s="4"/>
      <c r="H78" s="5">
        <v>2.8066666666666666</v>
      </c>
      <c r="I78">
        <v>4.5</v>
      </c>
      <c r="J78" s="2">
        <v>2710.0140000000001</v>
      </c>
      <c r="K78" s="6">
        <v>3.0038963925079001</v>
      </c>
      <c r="L78">
        <v>3.8333333333333335</v>
      </c>
      <c r="M78">
        <v>0.67500000000000004</v>
      </c>
      <c r="N78">
        <f t="shared" si="1"/>
        <v>122.89015117254662</v>
      </c>
      <c r="O78" s="5">
        <v>4.8233333333333333</v>
      </c>
      <c r="P78">
        <v>38</v>
      </c>
      <c r="Q78">
        <v>73572</v>
      </c>
      <c r="R78">
        <v>129044</v>
      </c>
      <c r="T78" s="1"/>
    </row>
    <row r="79" spans="1:20" x14ac:dyDescent="0.2">
      <c r="A79" t="s">
        <v>80</v>
      </c>
      <c r="B79" s="2">
        <v>4538.37</v>
      </c>
      <c r="C79" s="2">
        <v>18.327000000000002</v>
      </c>
      <c r="D79" s="1">
        <v>57.133333333333333</v>
      </c>
      <c r="E79" s="2">
        <v>530.37800000000004</v>
      </c>
      <c r="F79" s="3">
        <v>198455</v>
      </c>
      <c r="G79" s="4"/>
      <c r="H79" s="5">
        <v>2.8333333333333335</v>
      </c>
      <c r="I79">
        <v>3.5</v>
      </c>
      <c r="J79" s="2">
        <v>2747.0639999999999</v>
      </c>
      <c r="K79" s="6">
        <v>2.9987472442069398</v>
      </c>
      <c r="L79">
        <v>3.8333333333333335</v>
      </c>
      <c r="M79">
        <v>-0.22500000000000001</v>
      </c>
      <c r="N79">
        <f t="shared" si="1"/>
        <v>122.82102546251207</v>
      </c>
      <c r="O79" s="5">
        <v>3.99</v>
      </c>
      <c r="P79">
        <v>37.799999999999997</v>
      </c>
      <c r="Q79">
        <v>74001</v>
      </c>
      <c r="R79">
        <v>129527</v>
      </c>
      <c r="T79" s="1"/>
    </row>
    <row r="80" spans="1:20" x14ac:dyDescent="0.2">
      <c r="A80" t="s">
        <v>81</v>
      </c>
      <c r="B80" s="2">
        <v>4581.3090000000002</v>
      </c>
      <c r="C80" s="2">
        <v>18.497</v>
      </c>
      <c r="D80" s="1">
        <v>57.4</v>
      </c>
      <c r="E80" s="2">
        <v>545.92999999999995</v>
      </c>
      <c r="F80" s="3">
        <v>199012</v>
      </c>
      <c r="G80" s="4"/>
      <c r="H80" s="5">
        <v>2.8733333333333335</v>
      </c>
      <c r="I80">
        <v>3.75</v>
      </c>
      <c r="J80" s="2">
        <v>2761.1289999999999</v>
      </c>
      <c r="K80" s="6">
        <v>2.9891659285177998</v>
      </c>
      <c r="L80">
        <v>3.7999999999999994</v>
      </c>
      <c r="M80">
        <v>0.85</v>
      </c>
      <c r="N80">
        <f t="shared" si="1"/>
        <v>123.08202014161989</v>
      </c>
      <c r="O80" s="5">
        <v>3.8933333333333331</v>
      </c>
      <c r="P80">
        <v>37.799999999999997</v>
      </c>
      <c r="Q80">
        <v>74714</v>
      </c>
      <c r="R80">
        <v>130166</v>
      </c>
      <c r="T80" s="1"/>
    </row>
    <row r="81" spans="1:20" x14ac:dyDescent="0.2">
      <c r="A81" t="s">
        <v>82</v>
      </c>
      <c r="B81" s="2">
        <v>4615.8530000000001</v>
      </c>
      <c r="C81" s="2">
        <v>18.655000000000001</v>
      </c>
      <c r="D81" s="1">
        <v>57.533333333333331</v>
      </c>
      <c r="E81" s="2">
        <v>557.70600000000002</v>
      </c>
      <c r="F81" s="3">
        <v>199572</v>
      </c>
      <c r="G81" s="4"/>
      <c r="H81" s="5">
        <v>2.9066666666666667</v>
      </c>
      <c r="I81">
        <v>4.5</v>
      </c>
      <c r="J81" s="2">
        <v>2778.0259999999998</v>
      </c>
      <c r="K81" s="6">
        <v>2.9884555404838702</v>
      </c>
      <c r="L81">
        <v>3.9</v>
      </c>
      <c r="M81">
        <v>0.75</v>
      </c>
      <c r="N81">
        <f t="shared" si="1"/>
        <v>123.31279892938544</v>
      </c>
      <c r="O81" s="5">
        <v>4.1733333333333329</v>
      </c>
      <c r="P81">
        <v>37.799999999999997</v>
      </c>
      <c r="Q81">
        <v>75216</v>
      </c>
      <c r="R81">
        <v>130757</v>
      </c>
      <c r="T81" s="1"/>
    </row>
    <row r="82" spans="1:20" x14ac:dyDescent="0.2">
      <c r="A82" t="s">
        <v>83</v>
      </c>
      <c r="B82" s="2">
        <v>4709.9930000000004</v>
      </c>
      <c r="C82" s="2">
        <v>18.853000000000002</v>
      </c>
      <c r="D82" s="1">
        <v>57.233333333333334</v>
      </c>
      <c r="E82" s="2">
        <v>568.88699999999994</v>
      </c>
      <c r="F82" s="3">
        <v>199995</v>
      </c>
      <c r="G82" s="4"/>
      <c r="H82" s="5">
        <v>2.9533333333333331</v>
      </c>
      <c r="I82">
        <v>5.25</v>
      </c>
      <c r="J82" s="2">
        <v>2844.6010000000001</v>
      </c>
      <c r="K82" s="6">
        <v>2.9698714701943998</v>
      </c>
      <c r="L82">
        <v>3.7333333333333329</v>
      </c>
      <c r="M82">
        <v>2.5</v>
      </c>
      <c r="N82">
        <f t="shared" si="1"/>
        <v>124.08350392269411</v>
      </c>
      <c r="O82" s="5">
        <v>4.79</v>
      </c>
      <c r="P82">
        <v>37.700000000000003</v>
      </c>
      <c r="Q82">
        <v>75103</v>
      </c>
      <c r="R82">
        <v>131267</v>
      </c>
      <c r="T82" s="1"/>
    </row>
    <row r="83" spans="1:20" x14ac:dyDescent="0.2">
      <c r="A83" t="s">
        <v>84</v>
      </c>
      <c r="B83" s="2">
        <v>4788.6880000000001</v>
      </c>
      <c r="C83" s="2">
        <v>19.045000000000002</v>
      </c>
      <c r="D83" s="1">
        <v>57.666666666666664</v>
      </c>
      <c r="E83" s="2">
        <v>590.64700000000005</v>
      </c>
      <c r="F83" s="3">
        <v>200452</v>
      </c>
      <c r="G83" s="4"/>
      <c r="H83" s="5">
        <v>3</v>
      </c>
      <c r="I83">
        <v>5.5</v>
      </c>
      <c r="J83" s="2">
        <v>2887.9169999999999</v>
      </c>
      <c r="K83" s="6">
        <v>2.9503434460456499</v>
      </c>
      <c r="L83">
        <v>3.5666666666666664</v>
      </c>
      <c r="M83">
        <v>1.95</v>
      </c>
      <c r="N83">
        <f t="shared" si="1"/>
        <v>124.68841100431723</v>
      </c>
      <c r="O83" s="5">
        <v>5.9833333333333334</v>
      </c>
      <c r="P83">
        <v>37.700000000000003</v>
      </c>
      <c r="Q83">
        <v>75950</v>
      </c>
      <c r="R83">
        <v>131712</v>
      </c>
      <c r="T83" s="1"/>
    </row>
    <row r="84" spans="1:20" x14ac:dyDescent="0.2">
      <c r="A84" t="s">
        <v>85</v>
      </c>
      <c r="B84" s="2">
        <v>4825.799</v>
      </c>
      <c r="C84" s="2">
        <v>19.242000000000001</v>
      </c>
      <c r="D84" s="1">
        <v>57.533333333333331</v>
      </c>
      <c r="E84" s="2">
        <v>574.53899999999999</v>
      </c>
      <c r="F84" s="3">
        <v>200997</v>
      </c>
      <c r="G84" s="4"/>
      <c r="H84" s="5">
        <v>3.0466666666666669</v>
      </c>
      <c r="I84">
        <v>5.5</v>
      </c>
      <c r="J84" s="2">
        <v>2942.0419999999999</v>
      </c>
      <c r="K84" s="6">
        <v>2.9280695135919199</v>
      </c>
      <c r="L84">
        <v>3.5333333333333332</v>
      </c>
      <c r="M84">
        <v>0.75</v>
      </c>
      <c r="N84">
        <f t="shared" si="1"/>
        <v>124.92220177495034</v>
      </c>
      <c r="O84" s="5">
        <v>5.9466666666666663</v>
      </c>
      <c r="P84">
        <v>37.700000000000003</v>
      </c>
      <c r="Q84">
        <v>76101</v>
      </c>
      <c r="R84">
        <v>132250</v>
      </c>
      <c r="T84" s="1"/>
    </row>
    <row r="85" spans="1:20" x14ac:dyDescent="0.2">
      <c r="A85" t="s">
        <v>86</v>
      </c>
      <c r="B85" s="2">
        <v>4844.7790000000005</v>
      </c>
      <c r="C85" s="2">
        <v>19.456</v>
      </c>
      <c r="D85" s="1">
        <v>57.6</v>
      </c>
      <c r="E85" s="2">
        <v>580.78899999999999</v>
      </c>
      <c r="F85" s="3">
        <v>201538</v>
      </c>
      <c r="G85" s="4"/>
      <c r="H85" s="5">
        <v>3.0966666666666667</v>
      </c>
      <c r="I85">
        <v>4</v>
      </c>
      <c r="J85" s="2">
        <v>2955.3130000000001</v>
      </c>
      <c r="K85" s="6">
        <v>2.93332546556094</v>
      </c>
      <c r="L85">
        <v>3.4</v>
      </c>
      <c r="M85">
        <v>0.375</v>
      </c>
      <c r="N85">
        <f t="shared" si="1"/>
        <v>125.03931633911436</v>
      </c>
      <c r="O85" s="5">
        <v>5.916666666666667</v>
      </c>
      <c r="P85">
        <v>37.6</v>
      </c>
      <c r="Q85">
        <v>76499</v>
      </c>
      <c r="R85">
        <v>132880</v>
      </c>
      <c r="T85" s="1"/>
    </row>
    <row r="86" spans="1:20" x14ac:dyDescent="0.2">
      <c r="A86" t="s">
        <v>87</v>
      </c>
      <c r="B86" s="2">
        <v>4920.6049999999996</v>
      </c>
      <c r="C86" s="2">
        <v>19.645</v>
      </c>
      <c r="D86" s="1">
        <v>57.8</v>
      </c>
      <c r="E86" s="2">
        <v>614.98900000000003</v>
      </c>
      <c r="F86" s="3">
        <v>201955</v>
      </c>
      <c r="G86" s="4"/>
      <c r="H86" s="5">
        <v>3.14</v>
      </c>
      <c r="I86">
        <v>6.25</v>
      </c>
      <c r="J86" s="2">
        <v>2988.0819999999999</v>
      </c>
      <c r="K86" s="6">
        <v>2.9201531612932801</v>
      </c>
      <c r="L86">
        <v>3.4</v>
      </c>
      <c r="M86">
        <v>1.7749999999999999</v>
      </c>
      <c r="N86">
        <f t="shared" si="1"/>
        <v>125.5941783053692</v>
      </c>
      <c r="O86" s="5">
        <v>6.5666666666666664</v>
      </c>
      <c r="P86">
        <v>37.6</v>
      </c>
      <c r="Q86">
        <v>77166</v>
      </c>
      <c r="R86">
        <v>133476</v>
      </c>
      <c r="T86" s="1"/>
    </row>
    <row r="87" spans="1:20" x14ac:dyDescent="0.2">
      <c r="A87" t="s">
        <v>88</v>
      </c>
      <c r="B87" s="2">
        <v>4935.5640000000003</v>
      </c>
      <c r="C87" s="2">
        <v>19.896000000000001</v>
      </c>
      <c r="D87" s="1">
        <v>57.9</v>
      </c>
      <c r="E87" s="2">
        <v>611.36599999999999</v>
      </c>
      <c r="F87" s="3">
        <v>202419</v>
      </c>
      <c r="G87" s="4"/>
      <c r="H87" s="5">
        <v>3.1933333333333334</v>
      </c>
      <c r="I87">
        <v>7.5</v>
      </c>
      <c r="J87" s="2">
        <v>3007.3580000000002</v>
      </c>
      <c r="K87" s="6">
        <v>2.9033395440479701</v>
      </c>
      <c r="L87">
        <v>3.4333333333333336</v>
      </c>
      <c r="M87">
        <v>0.1</v>
      </c>
      <c r="N87">
        <f t="shared" si="1"/>
        <v>125.62557684994555</v>
      </c>
      <c r="O87" s="5">
        <v>8.3266666666666662</v>
      </c>
      <c r="P87">
        <v>37.6</v>
      </c>
      <c r="Q87">
        <v>77605</v>
      </c>
      <c r="R87">
        <v>134020</v>
      </c>
      <c r="T87" s="1"/>
    </row>
    <row r="88" spans="1:20" x14ac:dyDescent="0.2">
      <c r="A88" t="s">
        <v>89</v>
      </c>
      <c r="B88" s="2">
        <v>4968.1639999999998</v>
      </c>
      <c r="C88" s="2">
        <v>20.14</v>
      </c>
      <c r="D88" s="1">
        <v>58.06666666666667</v>
      </c>
      <c r="E88" s="2">
        <v>623.77800000000002</v>
      </c>
      <c r="F88" s="3">
        <v>202986</v>
      </c>
      <c r="G88" s="4"/>
      <c r="H88" s="5">
        <v>3.24</v>
      </c>
      <c r="I88">
        <v>8.5</v>
      </c>
      <c r="J88" s="2">
        <v>3022.02</v>
      </c>
      <c r="K88" s="6">
        <v>2.88612384012526</v>
      </c>
      <c r="L88">
        <v>3.5666666666666664</v>
      </c>
      <c r="M88">
        <v>0.6</v>
      </c>
      <c r="N88">
        <f t="shared" si="1"/>
        <v>125.81401521522046</v>
      </c>
      <c r="O88" s="5">
        <v>8.9833333333333325</v>
      </c>
      <c r="P88">
        <v>37.5</v>
      </c>
      <c r="Q88">
        <v>78153</v>
      </c>
      <c r="R88">
        <v>134595</v>
      </c>
      <c r="T88" s="1"/>
    </row>
    <row r="89" spans="1:20" x14ac:dyDescent="0.2">
      <c r="A89" t="s">
        <v>90</v>
      </c>
      <c r="B89" s="2">
        <v>4943.9350000000004</v>
      </c>
      <c r="C89" s="2">
        <v>20.373000000000001</v>
      </c>
      <c r="D89" s="1">
        <v>58.1</v>
      </c>
      <c r="E89" s="2">
        <v>593.65899999999999</v>
      </c>
      <c r="F89" s="3">
        <v>203584</v>
      </c>
      <c r="G89" s="4"/>
      <c r="H89" s="5">
        <v>3.2966666666666669</v>
      </c>
      <c r="I89">
        <v>5</v>
      </c>
      <c r="J89" s="2">
        <v>3046.1729999999998</v>
      </c>
      <c r="K89" s="6">
        <v>2.8856089107079201</v>
      </c>
      <c r="L89">
        <v>3.5666666666666664</v>
      </c>
      <c r="M89">
        <v>-0.77500000000000002</v>
      </c>
      <c r="N89">
        <f t="shared" si="1"/>
        <v>125.57025056074097</v>
      </c>
      <c r="O89" s="5">
        <v>8.94</v>
      </c>
      <c r="P89">
        <v>37.5</v>
      </c>
      <c r="Q89">
        <v>78575</v>
      </c>
      <c r="R89">
        <v>135247</v>
      </c>
      <c r="T89" s="1"/>
    </row>
    <row r="90" spans="1:20" x14ac:dyDescent="0.2">
      <c r="A90" t="s">
        <v>91</v>
      </c>
      <c r="B90" s="2">
        <v>4936.5940000000001</v>
      </c>
      <c r="C90" s="2">
        <v>20.609000000000002</v>
      </c>
      <c r="D90" s="1">
        <v>57.93333333333333</v>
      </c>
      <c r="E90" s="2">
        <v>575.95299999999997</v>
      </c>
      <c r="F90" s="3">
        <v>204086</v>
      </c>
      <c r="G90" s="4"/>
      <c r="H90" s="5">
        <v>3.3333333333333335</v>
      </c>
      <c r="I90">
        <v>7.5</v>
      </c>
      <c r="J90" s="2">
        <v>3065.0740000000001</v>
      </c>
      <c r="K90" s="6">
        <v>2.8735181071407001</v>
      </c>
      <c r="L90">
        <v>4.166666666666667</v>
      </c>
      <c r="M90">
        <v>-7.4999999999999997E-2</v>
      </c>
      <c r="N90">
        <f t="shared" si="1"/>
        <v>125.54670613876084</v>
      </c>
      <c r="O90" s="5">
        <v>8.5733333333333341</v>
      </c>
      <c r="P90">
        <v>37.299999999999997</v>
      </c>
      <c r="Q90">
        <v>78780</v>
      </c>
      <c r="R90">
        <v>135950</v>
      </c>
      <c r="T90" s="1"/>
    </row>
    <row r="91" spans="1:20" x14ac:dyDescent="0.2">
      <c r="A91" t="s">
        <v>92</v>
      </c>
      <c r="B91" s="2">
        <v>4943.6000000000004</v>
      </c>
      <c r="C91" s="2">
        <v>20.837</v>
      </c>
      <c r="D91" s="1">
        <v>57.56666666666667</v>
      </c>
      <c r="E91" s="2">
        <v>577.20500000000004</v>
      </c>
      <c r="F91" s="3">
        <v>204721</v>
      </c>
      <c r="G91" s="4"/>
      <c r="H91" s="5">
        <v>3.3766666666666665</v>
      </c>
      <c r="I91">
        <v>5.75</v>
      </c>
      <c r="J91" s="2">
        <v>3078.9589999999998</v>
      </c>
      <c r="K91" s="6">
        <v>2.8871068413488601</v>
      </c>
      <c r="L91">
        <v>4.7666666666666666</v>
      </c>
      <c r="M91">
        <v>0.15</v>
      </c>
      <c r="N91">
        <f t="shared" si="1"/>
        <v>125.59378615356287</v>
      </c>
      <c r="O91" s="5">
        <v>7.8866666666666667</v>
      </c>
      <c r="P91">
        <v>37</v>
      </c>
      <c r="Q91">
        <v>78636</v>
      </c>
      <c r="R91">
        <v>136677</v>
      </c>
      <c r="T91" s="1"/>
    </row>
    <row r="92" spans="1:20" x14ac:dyDescent="0.2">
      <c r="A92" t="s">
        <v>93</v>
      </c>
      <c r="B92" s="2">
        <v>4989.1589999999997</v>
      </c>
      <c r="C92" s="2">
        <v>21.04</v>
      </c>
      <c r="D92" s="1">
        <v>57.2</v>
      </c>
      <c r="E92" s="2">
        <v>586.59799999999996</v>
      </c>
      <c r="F92" s="3">
        <v>205419</v>
      </c>
      <c r="G92" s="4"/>
      <c r="H92" s="5">
        <v>3.4333333333333331</v>
      </c>
      <c r="I92">
        <v>5</v>
      </c>
      <c r="J92" s="2">
        <v>3105.9520000000002</v>
      </c>
      <c r="K92" s="6">
        <v>2.8627310183280299</v>
      </c>
      <c r="L92">
        <v>5.166666666666667</v>
      </c>
      <c r="M92">
        <v>1.1000000000000001</v>
      </c>
      <c r="N92">
        <f t="shared" si="1"/>
        <v>125.93916906548517</v>
      </c>
      <c r="O92" s="5">
        <v>6.706666666666667</v>
      </c>
      <c r="P92">
        <v>36.9</v>
      </c>
      <c r="Q92">
        <v>78616</v>
      </c>
      <c r="R92">
        <v>137456</v>
      </c>
      <c r="T92" s="1"/>
    </row>
    <row r="93" spans="1:20" x14ac:dyDescent="0.2">
      <c r="A93" t="s">
        <v>94</v>
      </c>
      <c r="B93" s="2">
        <v>4935.6930000000002</v>
      </c>
      <c r="C93" s="2">
        <v>21.312999999999999</v>
      </c>
      <c r="D93" s="1">
        <v>56.866666666666667</v>
      </c>
      <c r="E93" s="2">
        <v>555.45399999999995</v>
      </c>
      <c r="F93" s="3">
        <v>206130</v>
      </c>
      <c r="G93" s="4"/>
      <c r="H93" s="5">
        <v>3.4733333333333332</v>
      </c>
      <c r="I93">
        <v>3</v>
      </c>
      <c r="J93" s="2">
        <v>3097.52</v>
      </c>
      <c r="K93" s="6">
        <v>2.8628741270757101</v>
      </c>
      <c r="L93">
        <v>5.833333333333333</v>
      </c>
      <c r="M93">
        <v>-1.625</v>
      </c>
      <c r="N93">
        <f t="shared" si="1"/>
        <v>125.42754119115665</v>
      </c>
      <c r="O93" s="5">
        <v>5.5666666666666664</v>
      </c>
      <c r="P93">
        <v>36.799999999999997</v>
      </c>
      <c r="Q93">
        <v>78643</v>
      </c>
      <c r="R93">
        <v>138260</v>
      </c>
      <c r="T93" s="1"/>
    </row>
    <row r="94" spans="1:20" x14ac:dyDescent="0.2">
      <c r="A94" t="s">
        <v>95</v>
      </c>
      <c r="B94" s="2">
        <v>5069.7460000000001</v>
      </c>
      <c r="C94" s="2">
        <v>21.513999999999999</v>
      </c>
      <c r="D94" s="1">
        <v>56.6</v>
      </c>
      <c r="E94" s="2">
        <v>620.21199999999999</v>
      </c>
      <c r="F94" s="3">
        <v>206763</v>
      </c>
      <c r="G94" s="4"/>
      <c r="H94" s="5">
        <v>3.5466666666666669</v>
      </c>
      <c r="I94">
        <v>4.5</v>
      </c>
      <c r="J94" s="2">
        <v>3156.9780000000001</v>
      </c>
      <c r="K94" s="6">
        <v>2.8778221127949601</v>
      </c>
      <c r="L94">
        <v>5.9333333333333336</v>
      </c>
      <c r="M94">
        <v>3.625</v>
      </c>
      <c r="N94">
        <f t="shared" si="1"/>
        <v>126.5642282832015</v>
      </c>
      <c r="O94" s="5">
        <v>3.8566666666666669</v>
      </c>
      <c r="P94">
        <v>36.700000000000003</v>
      </c>
      <c r="Q94">
        <v>78717</v>
      </c>
      <c r="R94">
        <v>139034</v>
      </c>
      <c r="T94" s="1"/>
    </row>
    <row r="95" spans="1:20" x14ac:dyDescent="0.2">
      <c r="A95" t="s">
        <v>96</v>
      </c>
      <c r="B95" s="2">
        <v>5097.1790000000001</v>
      </c>
      <c r="C95" s="2">
        <v>21.759</v>
      </c>
      <c r="D95" s="1">
        <v>56.466666666666669</v>
      </c>
      <c r="E95" s="2">
        <v>637.81100000000004</v>
      </c>
      <c r="F95" s="3">
        <v>207362</v>
      </c>
      <c r="G95" s="4"/>
      <c r="H95" s="5">
        <v>3.6033333333333335</v>
      </c>
      <c r="I95">
        <v>4.75</v>
      </c>
      <c r="J95" s="2">
        <v>3185.9929999999999</v>
      </c>
      <c r="K95" s="6">
        <v>2.8726534346632802</v>
      </c>
      <c r="L95">
        <v>5.9000000000000012</v>
      </c>
      <c r="M95">
        <v>0.625</v>
      </c>
      <c r="N95">
        <f t="shared" si="1"/>
        <v>126.76198488989399</v>
      </c>
      <c r="O95" s="5">
        <v>4.5666666666666664</v>
      </c>
      <c r="P95">
        <v>36.799999999999997</v>
      </c>
      <c r="Q95">
        <v>78961</v>
      </c>
      <c r="R95">
        <v>139827</v>
      </c>
      <c r="T95" s="1"/>
    </row>
    <row r="96" spans="1:20" x14ac:dyDescent="0.2">
      <c r="A96" t="s">
        <v>97</v>
      </c>
      <c r="B96" s="2">
        <v>5139.1279999999997</v>
      </c>
      <c r="C96" s="2">
        <v>21.972000000000001</v>
      </c>
      <c r="D96" s="1">
        <v>56.56666666666667</v>
      </c>
      <c r="E96" s="2">
        <v>645.54899999999998</v>
      </c>
      <c r="F96" s="3">
        <v>208000</v>
      </c>
      <c r="G96" s="4"/>
      <c r="H96" s="5">
        <v>3.6533333333333333</v>
      </c>
      <c r="I96">
        <v>5.38</v>
      </c>
      <c r="J96" s="2">
        <v>3211.3939999999998</v>
      </c>
      <c r="K96" s="6">
        <v>2.85710722897872</v>
      </c>
      <c r="L96">
        <v>6.0333333333333341</v>
      </c>
      <c r="M96">
        <v>0.97499999999999998</v>
      </c>
      <c r="N96">
        <f t="shared" si="1"/>
        <v>127.07096722806313</v>
      </c>
      <c r="O96" s="5">
        <v>5.4766666666666666</v>
      </c>
      <c r="P96">
        <v>36.700000000000003</v>
      </c>
      <c r="Q96">
        <v>79511</v>
      </c>
      <c r="R96">
        <v>140603</v>
      </c>
      <c r="T96" s="1"/>
    </row>
    <row r="97" spans="1:20" x14ac:dyDescent="0.2">
      <c r="A97" t="s">
        <v>98</v>
      </c>
      <c r="B97" s="2">
        <v>5151.2449999999999</v>
      </c>
      <c r="C97" s="2">
        <v>22.108000000000001</v>
      </c>
      <c r="D97" s="1">
        <v>56.733333333333334</v>
      </c>
      <c r="E97" s="2">
        <v>628.16499999999996</v>
      </c>
      <c r="F97" s="3">
        <v>208642</v>
      </c>
      <c r="G97" s="4"/>
      <c r="H97" s="5">
        <v>3.7033333333333331</v>
      </c>
      <c r="I97">
        <v>3</v>
      </c>
      <c r="J97" s="2">
        <v>3264.6790000000001</v>
      </c>
      <c r="K97" s="6">
        <v>2.8476412272651102</v>
      </c>
      <c r="L97">
        <v>5.9333333333333336</v>
      </c>
      <c r="M97">
        <v>0.2</v>
      </c>
      <c r="N97">
        <f t="shared" si="1"/>
        <v>127.13450271167714</v>
      </c>
      <c r="O97" s="5">
        <v>4.75</v>
      </c>
      <c r="P97">
        <v>36.799999999999997</v>
      </c>
      <c r="Q97">
        <v>80229</v>
      </c>
      <c r="R97">
        <v>141402</v>
      </c>
      <c r="T97" s="1"/>
    </row>
    <row r="98" spans="1:20" x14ac:dyDescent="0.2">
      <c r="A98" t="s">
        <v>99</v>
      </c>
      <c r="B98" s="2">
        <v>5245.9740000000002</v>
      </c>
      <c r="C98" s="2">
        <v>22.34</v>
      </c>
      <c r="D98" s="1">
        <v>56.766666666666666</v>
      </c>
      <c r="E98" s="2">
        <v>669.55799999999999</v>
      </c>
      <c r="F98" s="3">
        <v>209142</v>
      </c>
      <c r="G98" s="4"/>
      <c r="H98" s="5">
        <v>3.82</v>
      </c>
      <c r="I98">
        <v>4</v>
      </c>
      <c r="J98" s="2">
        <v>3307.7669999999998</v>
      </c>
      <c r="K98" s="6">
        <v>2.85415300935085</v>
      </c>
      <c r="L98">
        <v>5.7666666666666666</v>
      </c>
      <c r="M98">
        <v>2.8250000000000002</v>
      </c>
      <c r="N98">
        <f t="shared" si="1"/>
        <v>128.03239013707835</v>
      </c>
      <c r="O98" s="5">
        <v>3.5466666666666669</v>
      </c>
      <c r="P98">
        <v>36.9</v>
      </c>
      <c r="Q98">
        <v>81213</v>
      </c>
      <c r="R98">
        <v>143005</v>
      </c>
      <c r="T98" s="1"/>
    </row>
    <row r="99" spans="1:20" x14ac:dyDescent="0.2">
      <c r="A99" t="s">
        <v>100</v>
      </c>
      <c r="B99" s="2">
        <v>5365.0450000000001</v>
      </c>
      <c r="C99" s="2">
        <v>22.469000000000001</v>
      </c>
      <c r="D99" s="1">
        <v>56.966666666666669</v>
      </c>
      <c r="E99" s="2">
        <v>707.58900000000006</v>
      </c>
      <c r="F99" s="3">
        <v>209637</v>
      </c>
      <c r="G99" s="4"/>
      <c r="H99" s="5">
        <v>3.8733333333333335</v>
      </c>
      <c r="I99">
        <v>4.5</v>
      </c>
      <c r="J99" s="2">
        <v>3370.7359999999999</v>
      </c>
      <c r="K99" s="6">
        <v>2.8587673816529202</v>
      </c>
      <c r="L99">
        <v>5.7</v>
      </c>
      <c r="M99">
        <v>2.8250000000000002</v>
      </c>
      <c r="N99">
        <f t="shared" si="1"/>
        <v>128.93661889242145</v>
      </c>
      <c r="O99" s="5">
        <v>4.3</v>
      </c>
      <c r="P99">
        <v>36.9</v>
      </c>
      <c r="Q99">
        <v>81875</v>
      </c>
      <c r="R99">
        <v>143759</v>
      </c>
      <c r="T99" s="1"/>
    </row>
    <row r="100" spans="1:20" x14ac:dyDescent="0.2">
      <c r="A100" t="s">
        <v>101</v>
      </c>
      <c r="B100" s="2">
        <v>5415.7120000000004</v>
      </c>
      <c r="C100" s="2">
        <v>22.666</v>
      </c>
      <c r="D100" s="1">
        <v>57.033333333333331</v>
      </c>
      <c r="E100" s="2">
        <v>717.63800000000003</v>
      </c>
      <c r="F100" s="3">
        <v>210181</v>
      </c>
      <c r="G100" s="4"/>
      <c r="H100" s="5">
        <v>3.92</v>
      </c>
      <c r="I100">
        <v>4.88</v>
      </c>
      <c r="J100" s="2">
        <v>3422.6819999999998</v>
      </c>
      <c r="K100" s="6">
        <v>2.8570532891841101</v>
      </c>
      <c r="L100">
        <v>5.5666666666666664</v>
      </c>
      <c r="M100">
        <v>1.175</v>
      </c>
      <c r="N100">
        <f t="shared" si="1"/>
        <v>129.31537021041794</v>
      </c>
      <c r="O100" s="5">
        <v>4.7433333333333332</v>
      </c>
      <c r="P100">
        <v>36.799999999999997</v>
      </c>
      <c r="Q100">
        <v>82450</v>
      </c>
      <c r="R100">
        <v>144523</v>
      </c>
      <c r="T100" s="1"/>
    </row>
    <row r="101" spans="1:20" x14ac:dyDescent="0.2">
      <c r="A101" t="s">
        <v>102</v>
      </c>
      <c r="B101" s="2">
        <v>5506.3959999999997</v>
      </c>
      <c r="C101" s="2">
        <v>22.852</v>
      </c>
      <c r="D101" s="1">
        <v>57.166666666666664</v>
      </c>
      <c r="E101" s="2">
        <v>722.13800000000003</v>
      </c>
      <c r="F101" s="3">
        <v>210737</v>
      </c>
      <c r="G101" s="4"/>
      <c r="H101" s="5">
        <v>3.9866666666666668</v>
      </c>
      <c r="I101">
        <v>5.5</v>
      </c>
      <c r="J101" s="2">
        <v>3503.0010000000002</v>
      </c>
      <c r="K101" s="6">
        <v>2.8505106214756801</v>
      </c>
      <c r="L101">
        <v>5.3666666666666663</v>
      </c>
      <c r="M101">
        <v>1.9750000000000001</v>
      </c>
      <c r="N101">
        <f t="shared" si="1"/>
        <v>129.95386485083188</v>
      </c>
      <c r="O101" s="5">
        <v>5.1466666666666665</v>
      </c>
      <c r="P101">
        <v>36.9</v>
      </c>
      <c r="Q101">
        <v>83002</v>
      </c>
      <c r="R101">
        <v>145215</v>
      </c>
      <c r="T101" s="1"/>
    </row>
    <row r="102" spans="1:20" x14ac:dyDescent="0.2">
      <c r="A102" t="s">
        <v>103</v>
      </c>
      <c r="B102" s="2">
        <v>5642.6689999999999</v>
      </c>
      <c r="C102" s="2">
        <v>23.129000000000001</v>
      </c>
      <c r="D102" s="1">
        <v>57.466666666666669</v>
      </c>
      <c r="E102" s="2">
        <v>764.45799999999997</v>
      </c>
      <c r="F102" s="3">
        <v>211192</v>
      </c>
      <c r="G102" s="4"/>
      <c r="H102" s="5">
        <v>4.0466666666666669</v>
      </c>
      <c r="I102">
        <v>7.38</v>
      </c>
      <c r="J102" s="2">
        <v>3566.9569999999999</v>
      </c>
      <c r="K102" s="6">
        <v>2.83283277120923</v>
      </c>
      <c r="L102">
        <v>4.9333333333333336</v>
      </c>
      <c r="M102">
        <v>4.0250000000000004</v>
      </c>
      <c r="N102">
        <f t="shared" si="1"/>
        <v>131.26152561589339</v>
      </c>
      <c r="O102" s="5">
        <v>6.5366666666666671</v>
      </c>
      <c r="P102">
        <v>36.9</v>
      </c>
      <c r="Q102">
        <v>83842</v>
      </c>
      <c r="R102">
        <v>145964</v>
      </c>
      <c r="T102" s="1"/>
    </row>
    <row r="103" spans="1:20" x14ac:dyDescent="0.2">
      <c r="A103" t="s">
        <v>104</v>
      </c>
      <c r="B103" s="2">
        <v>5704.098</v>
      </c>
      <c r="C103" s="2">
        <v>23.574999999999999</v>
      </c>
      <c r="D103" s="1">
        <v>57.8</v>
      </c>
      <c r="E103" s="2">
        <v>797.04399999999998</v>
      </c>
      <c r="F103" s="3">
        <v>211663</v>
      </c>
      <c r="G103" s="4"/>
      <c r="H103" s="5">
        <v>4.1033333333333335</v>
      </c>
      <c r="I103">
        <v>8.8800000000000008</v>
      </c>
      <c r="J103" s="2">
        <v>3565.3490000000002</v>
      </c>
      <c r="K103" s="6">
        <v>2.8074684383719002</v>
      </c>
      <c r="L103">
        <v>4.9333333333333336</v>
      </c>
      <c r="M103">
        <v>1.1000000000000001</v>
      </c>
      <c r="N103">
        <f t="shared" si="1"/>
        <v>131.62249481133711</v>
      </c>
      <c r="O103" s="5">
        <v>7.8166666666666664</v>
      </c>
      <c r="P103">
        <v>36.9</v>
      </c>
      <c r="Q103">
        <v>84797</v>
      </c>
      <c r="R103">
        <v>146720</v>
      </c>
      <c r="T103" s="1"/>
    </row>
    <row r="104" spans="1:20" x14ac:dyDescent="0.2">
      <c r="A104" t="s">
        <v>105</v>
      </c>
      <c r="B104" s="2">
        <v>5674.1</v>
      </c>
      <c r="C104" s="2">
        <v>24.004999999999999</v>
      </c>
      <c r="D104" s="1">
        <v>57.866666666666667</v>
      </c>
      <c r="E104" s="2">
        <v>768.14300000000003</v>
      </c>
      <c r="F104" s="3">
        <v>212191</v>
      </c>
      <c r="G104" s="4"/>
      <c r="H104" s="5">
        <v>4.17</v>
      </c>
      <c r="I104">
        <v>10.82</v>
      </c>
      <c r="J104" s="2">
        <v>3577.8980000000001</v>
      </c>
      <c r="K104" s="6">
        <v>2.78381825972789</v>
      </c>
      <c r="L104">
        <v>4.8</v>
      </c>
      <c r="M104">
        <v>-0.27500000000000002</v>
      </c>
      <c r="N104">
        <f t="shared" si="1"/>
        <v>131.53200434615431</v>
      </c>
      <c r="O104" s="5">
        <v>10.56</v>
      </c>
      <c r="P104">
        <v>36.799999999999997</v>
      </c>
      <c r="Q104">
        <v>85330</v>
      </c>
      <c r="R104">
        <v>147478</v>
      </c>
      <c r="T104" s="1"/>
    </row>
    <row r="105" spans="1:20" x14ac:dyDescent="0.2">
      <c r="A105" t="s">
        <v>106</v>
      </c>
      <c r="B105" s="2">
        <v>5727.96</v>
      </c>
      <c r="C105" s="2">
        <v>24.498000000000001</v>
      </c>
      <c r="D105" s="1">
        <v>58.166666666666664</v>
      </c>
      <c r="E105" s="2">
        <v>795.50400000000002</v>
      </c>
      <c r="F105" s="3">
        <v>212708</v>
      </c>
      <c r="G105" s="4"/>
      <c r="H105" s="5">
        <v>4.2333333333333334</v>
      </c>
      <c r="I105">
        <v>9.83</v>
      </c>
      <c r="J105" s="2">
        <v>3567.2269999999999</v>
      </c>
      <c r="K105" s="6">
        <v>2.7333358844371398</v>
      </c>
      <c r="L105">
        <v>4.7666666666666666</v>
      </c>
      <c r="M105">
        <v>-0.125</v>
      </c>
      <c r="N105">
        <f t="shared" si="1"/>
        <v>131.49090059479613</v>
      </c>
      <c r="O105" s="5">
        <v>9.9966666666666661</v>
      </c>
      <c r="P105">
        <v>36.799999999999997</v>
      </c>
      <c r="Q105">
        <v>86236</v>
      </c>
      <c r="R105">
        <v>148226</v>
      </c>
      <c r="T105" s="1"/>
    </row>
    <row r="106" spans="1:20" x14ac:dyDescent="0.2">
      <c r="A106" t="s">
        <v>107</v>
      </c>
      <c r="B106" s="2">
        <v>5678.7129999999997</v>
      </c>
      <c r="C106" s="2">
        <v>25.227</v>
      </c>
      <c r="D106" s="1">
        <v>58.2</v>
      </c>
      <c r="E106" s="2">
        <v>750.07600000000002</v>
      </c>
      <c r="F106" s="3">
        <v>213144</v>
      </c>
      <c r="G106" s="4"/>
      <c r="H106" s="5">
        <v>4.293333333333333</v>
      </c>
      <c r="I106">
        <v>9.9499999999999993</v>
      </c>
      <c r="J106" s="2">
        <v>3535.3119999999999</v>
      </c>
      <c r="K106" s="6">
        <v>2.6738815455843801</v>
      </c>
      <c r="L106">
        <v>5.1333333333333337</v>
      </c>
      <c r="M106">
        <v>-0.65</v>
      </c>
      <c r="N106">
        <f t="shared" si="1"/>
        <v>131.27722788132959</v>
      </c>
      <c r="O106" s="5">
        <v>9.3233333333333341</v>
      </c>
      <c r="P106">
        <v>36.6</v>
      </c>
      <c r="Q106">
        <v>86709</v>
      </c>
      <c r="R106">
        <v>148987</v>
      </c>
      <c r="T106" s="1"/>
    </row>
    <row r="107" spans="1:20" x14ac:dyDescent="0.2">
      <c r="A107" t="s">
        <v>108</v>
      </c>
      <c r="B107" s="2">
        <v>5692.21</v>
      </c>
      <c r="C107" s="2">
        <v>25.942</v>
      </c>
      <c r="D107" s="1">
        <v>58</v>
      </c>
      <c r="E107" s="2">
        <v>747.08199999999999</v>
      </c>
      <c r="F107" s="3">
        <v>213602</v>
      </c>
      <c r="G107" s="4"/>
      <c r="H107" s="5">
        <v>4.3899999999999997</v>
      </c>
      <c r="I107">
        <v>13.31</v>
      </c>
      <c r="J107" s="2">
        <v>3548.0410000000002</v>
      </c>
      <c r="K107" s="6">
        <v>2.6616724108989498</v>
      </c>
      <c r="L107">
        <v>5.2</v>
      </c>
      <c r="M107">
        <v>-2.5000000000000001E-2</v>
      </c>
      <c r="N107">
        <f t="shared" si="1"/>
        <v>131.26902305458702</v>
      </c>
      <c r="O107" s="5">
        <v>11.25</v>
      </c>
      <c r="P107">
        <v>36.5</v>
      </c>
      <c r="Q107">
        <v>86834</v>
      </c>
      <c r="R107">
        <v>149747</v>
      </c>
      <c r="T107" s="1"/>
    </row>
    <row r="108" spans="1:20" x14ac:dyDescent="0.2">
      <c r="A108" t="s">
        <v>109</v>
      </c>
      <c r="B108" s="2">
        <v>5638.4110000000001</v>
      </c>
      <c r="C108" s="2">
        <v>26.64</v>
      </c>
      <c r="D108" s="1">
        <v>57.833333333333336</v>
      </c>
      <c r="E108" s="2">
        <v>708.36199999999997</v>
      </c>
      <c r="F108" s="3">
        <v>214147</v>
      </c>
      <c r="G108" s="4"/>
      <c r="H108" s="5">
        <v>4.49</v>
      </c>
      <c r="I108">
        <v>11.11</v>
      </c>
      <c r="J108" s="2">
        <v>3563.2820000000002</v>
      </c>
      <c r="K108" s="6">
        <v>2.6937501897241098</v>
      </c>
      <c r="L108">
        <v>5.6333333333333329</v>
      </c>
      <c r="M108">
        <v>-1.325</v>
      </c>
      <c r="N108">
        <f t="shared" si="1"/>
        <v>130.83419441571868</v>
      </c>
      <c r="O108" s="5">
        <v>12.09</v>
      </c>
      <c r="P108">
        <v>36.5</v>
      </c>
      <c r="Q108">
        <v>87079</v>
      </c>
      <c r="R108">
        <v>150498</v>
      </c>
      <c r="T108" s="1"/>
    </row>
    <row r="109" spans="1:20" x14ac:dyDescent="0.2">
      <c r="A109" t="s">
        <v>110</v>
      </c>
      <c r="B109" s="2">
        <v>5616.5259999999998</v>
      </c>
      <c r="C109" s="2">
        <v>27.315000000000001</v>
      </c>
      <c r="D109" s="1">
        <v>57.266666666666666</v>
      </c>
      <c r="E109" s="2">
        <v>712.66099999999994</v>
      </c>
      <c r="F109" s="3">
        <v>214700</v>
      </c>
      <c r="G109" s="4"/>
      <c r="H109" s="5">
        <v>4.5766666666666671</v>
      </c>
      <c r="I109">
        <v>3.87</v>
      </c>
      <c r="J109" s="2">
        <v>3511.1970000000001</v>
      </c>
      <c r="K109" s="6">
        <v>2.7301593774205402</v>
      </c>
      <c r="L109">
        <v>6.6000000000000005</v>
      </c>
      <c r="M109">
        <v>-0.75</v>
      </c>
      <c r="N109">
        <f t="shared" si="1"/>
        <v>130.58888030118922</v>
      </c>
      <c r="O109" s="5">
        <v>9.3466666666666676</v>
      </c>
      <c r="P109">
        <v>36.200000000000003</v>
      </c>
      <c r="Q109">
        <v>86588</v>
      </c>
      <c r="R109">
        <v>151253</v>
      </c>
      <c r="T109" s="1"/>
    </row>
    <row r="110" spans="1:20" x14ac:dyDescent="0.2">
      <c r="A110" t="s">
        <v>111</v>
      </c>
      <c r="B110" s="2">
        <v>5548.1559999999999</v>
      </c>
      <c r="C110" s="2">
        <v>27.824999999999999</v>
      </c>
      <c r="D110" s="1">
        <v>56.166666666666664</v>
      </c>
      <c r="E110" s="2">
        <v>597.86599999999999</v>
      </c>
      <c r="F110" s="3">
        <v>215135</v>
      </c>
      <c r="G110" s="4"/>
      <c r="H110" s="5">
        <v>4.6399999999999997</v>
      </c>
      <c r="I110">
        <v>5.39</v>
      </c>
      <c r="J110" s="2">
        <v>3540.6469999999999</v>
      </c>
      <c r="K110" s="6">
        <v>2.7645425674164299</v>
      </c>
      <c r="L110">
        <v>8.2666666666666657</v>
      </c>
      <c r="M110">
        <v>-2.2999999999999998</v>
      </c>
      <c r="N110">
        <f t="shared" si="1"/>
        <v>129.83799423945737</v>
      </c>
      <c r="O110" s="5">
        <v>6.3033333333333337</v>
      </c>
      <c r="P110">
        <v>35.9</v>
      </c>
      <c r="Q110">
        <v>85357</v>
      </c>
      <c r="R110">
        <v>151987</v>
      </c>
      <c r="T110" s="1"/>
    </row>
    <row r="111" spans="1:20" x14ac:dyDescent="0.2">
      <c r="A111" t="s">
        <v>112</v>
      </c>
      <c r="B111" s="2">
        <v>5587.8</v>
      </c>
      <c r="C111" s="2">
        <v>28.164000000000001</v>
      </c>
      <c r="D111" s="1">
        <v>55.9</v>
      </c>
      <c r="E111" s="2">
        <v>580.06700000000001</v>
      </c>
      <c r="F111" s="3">
        <v>215652</v>
      </c>
      <c r="G111" s="4"/>
      <c r="H111" s="5">
        <v>4.6933333333333334</v>
      </c>
      <c r="I111">
        <v>5.97</v>
      </c>
      <c r="J111" s="2">
        <v>3598.886</v>
      </c>
      <c r="K111" s="6">
        <v>2.7969404797172301</v>
      </c>
      <c r="L111">
        <v>8.8666666666666671</v>
      </c>
      <c r="M111">
        <v>0.67500000000000004</v>
      </c>
      <c r="N111">
        <f t="shared" si="1"/>
        <v>130.05709585473647</v>
      </c>
      <c r="O111" s="5">
        <v>5.42</v>
      </c>
      <c r="P111">
        <v>35.9</v>
      </c>
      <c r="Q111">
        <v>85332</v>
      </c>
      <c r="R111">
        <v>152708</v>
      </c>
      <c r="T111" s="1"/>
    </row>
    <row r="112" spans="1:20" x14ac:dyDescent="0.2">
      <c r="A112" t="s">
        <v>113</v>
      </c>
      <c r="B112" s="2">
        <v>5683.4440000000004</v>
      </c>
      <c r="C112" s="2">
        <v>28.69</v>
      </c>
      <c r="D112" s="1">
        <v>56.06666666666667</v>
      </c>
      <c r="E112" s="2">
        <v>625.03700000000003</v>
      </c>
      <c r="F112" s="3">
        <v>216289</v>
      </c>
      <c r="G112" s="4"/>
      <c r="H112" s="5">
        <v>4.7699999999999996</v>
      </c>
      <c r="I112">
        <v>6.22</v>
      </c>
      <c r="J112" s="2">
        <v>3650.0349999999999</v>
      </c>
      <c r="K112" s="6">
        <v>2.7710635710521498</v>
      </c>
      <c r="L112">
        <v>8.4666666666666668</v>
      </c>
      <c r="M112">
        <v>2.2250000000000001</v>
      </c>
      <c r="N112">
        <f t="shared" si="1"/>
        <v>130.78053845042842</v>
      </c>
      <c r="O112" s="5">
        <v>6.16</v>
      </c>
      <c r="P112">
        <v>36</v>
      </c>
      <c r="Q112">
        <v>86136</v>
      </c>
      <c r="R112">
        <v>153579</v>
      </c>
      <c r="T112" s="1"/>
    </row>
    <row r="113" spans="1:20" x14ac:dyDescent="0.2">
      <c r="A113" t="s">
        <v>114</v>
      </c>
      <c r="B113" s="2">
        <v>5759.9719999999998</v>
      </c>
      <c r="C113" s="2">
        <v>29.172000000000001</v>
      </c>
      <c r="D113" s="1">
        <v>56.06666666666667</v>
      </c>
      <c r="E113" s="2">
        <v>642.48400000000004</v>
      </c>
      <c r="F113" s="3">
        <v>216848</v>
      </c>
      <c r="G113" s="4"/>
      <c r="H113" s="5">
        <v>4.8499999999999996</v>
      </c>
      <c r="I113">
        <v>5.37</v>
      </c>
      <c r="J113" s="2">
        <v>3689.2849999999999</v>
      </c>
      <c r="K113" s="6">
        <v>2.7562835180402598</v>
      </c>
      <c r="L113">
        <v>8.3000000000000007</v>
      </c>
      <c r="M113">
        <v>1.875</v>
      </c>
      <c r="N113">
        <f t="shared" si="1"/>
        <v>131.39357222441481</v>
      </c>
      <c r="O113" s="5">
        <v>5.4133333333333331</v>
      </c>
      <c r="P113">
        <v>36.1</v>
      </c>
      <c r="Q113">
        <v>86497</v>
      </c>
      <c r="R113">
        <v>154336</v>
      </c>
      <c r="T113" s="1"/>
    </row>
    <row r="114" spans="1:20" x14ac:dyDescent="0.2">
      <c r="A114" t="s">
        <v>115</v>
      </c>
      <c r="B114" s="2">
        <v>5889.5</v>
      </c>
      <c r="C114" s="2">
        <v>29.495000000000001</v>
      </c>
      <c r="D114" s="1">
        <v>56.533333333333331</v>
      </c>
      <c r="E114" s="2">
        <v>704.47500000000002</v>
      </c>
      <c r="F114" s="3">
        <v>217314</v>
      </c>
      <c r="G114" s="4"/>
      <c r="H114" s="5">
        <v>4.9266666666666667</v>
      </c>
      <c r="I114">
        <v>5.07</v>
      </c>
      <c r="J114" s="2">
        <v>3763.0479999999998</v>
      </c>
      <c r="K114" s="6">
        <v>2.74164473834644</v>
      </c>
      <c r="L114">
        <v>7.7333333333333343</v>
      </c>
      <c r="M114">
        <v>3.3</v>
      </c>
      <c r="N114">
        <f t="shared" si="1"/>
        <v>132.47756919526626</v>
      </c>
      <c r="O114" s="5">
        <v>4.8266666666666671</v>
      </c>
      <c r="P114">
        <v>36.200000000000003</v>
      </c>
      <c r="Q114">
        <v>87686</v>
      </c>
      <c r="R114">
        <v>155075</v>
      </c>
      <c r="T114" s="1"/>
    </row>
    <row r="115" spans="1:20" x14ac:dyDescent="0.2">
      <c r="A115" t="s">
        <v>116</v>
      </c>
      <c r="B115" s="2">
        <v>5932.7110000000002</v>
      </c>
      <c r="C115" s="2">
        <v>29.742999999999999</v>
      </c>
      <c r="D115" s="1">
        <v>56.866666666666667</v>
      </c>
      <c r="E115" s="2">
        <v>732.35799999999995</v>
      </c>
      <c r="F115" s="3">
        <v>217776</v>
      </c>
      <c r="G115" s="4"/>
      <c r="H115" s="5">
        <v>5.0066666666666668</v>
      </c>
      <c r="I115">
        <v>5.71</v>
      </c>
      <c r="J115" s="2">
        <v>3797.67</v>
      </c>
      <c r="K115" s="6">
        <v>2.7447910383563499</v>
      </c>
      <c r="L115">
        <v>7.5666666666666673</v>
      </c>
      <c r="M115">
        <v>1</v>
      </c>
      <c r="N115">
        <f t="shared" si="1"/>
        <v>132.8087631182544</v>
      </c>
      <c r="O115" s="5">
        <v>5.1966666666666663</v>
      </c>
      <c r="P115">
        <v>36.1</v>
      </c>
      <c r="Q115">
        <v>88591</v>
      </c>
      <c r="R115">
        <v>155774</v>
      </c>
      <c r="T115" s="1"/>
    </row>
    <row r="116" spans="1:20" x14ac:dyDescent="0.2">
      <c r="A116" t="s">
        <v>117</v>
      </c>
      <c r="B116" s="2">
        <v>5965.2650000000003</v>
      </c>
      <c r="C116" s="2">
        <v>30.196000000000002</v>
      </c>
      <c r="D116" s="1">
        <v>56.966666666666669</v>
      </c>
      <c r="E116" s="2">
        <v>734.91</v>
      </c>
      <c r="F116" s="3">
        <v>218338</v>
      </c>
      <c r="G116" s="4"/>
      <c r="H116" s="5">
        <v>5.1033333333333335</v>
      </c>
      <c r="I116">
        <v>5.31</v>
      </c>
      <c r="J116" s="2">
        <v>3837.654</v>
      </c>
      <c r="K116" s="6">
        <v>2.7214600422986699</v>
      </c>
      <c r="L116">
        <v>7.7333333333333334</v>
      </c>
      <c r="M116">
        <v>0.65</v>
      </c>
      <c r="N116">
        <f t="shared" si="1"/>
        <v>133.02457735832158</v>
      </c>
      <c r="O116" s="5">
        <v>5.2833333333333332</v>
      </c>
      <c r="P116">
        <v>36.1</v>
      </c>
      <c r="Q116">
        <v>89163</v>
      </c>
      <c r="R116">
        <v>156527</v>
      </c>
      <c r="T116" s="1"/>
    </row>
    <row r="117" spans="1:20" x14ac:dyDescent="0.2">
      <c r="A117" t="s">
        <v>118</v>
      </c>
      <c r="B117" s="2">
        <v>6008.5039999999999</v>
      </c>
      <c r="C117" s="2">
        <v>30.672999999999998</v>
      </c>
      <c r="D117" s="1">
        <v>56.966666666666669</v>
      </c>
      <c r="E117" s="2">
        <v>740.40800000000002</v>
      </c>
      <c r="F117" s="3">
        <v>218917</v>
      </c>
      <c r="G117" s="4"/>
      <c r="H117" s="5">
        <v>5.2</v>
      </c>
      <c r="I117">
        <v>4.17</v>
      </c>
      <c r="J117" s="2">
        <v>3887.4470000000001</v>
      </c>
      <c r="K117" s="6">
        <v>2.7057910201333</v>
      </c>
      <c r="L117">
        <v>7.7666666666666666</v>
      </c>
      <c r="M117">
        <v>0.85</v>
      </c>
      <c r="N117">
        <f t="shared" si="1"/>
        <v>133.307254585208</v>
      </c>
      <c r="O117" s="5">
        <v>4.8733333333333331</v>
      </c>
      <c r="P117">
        <v>35.9</v>
      </c>
      <c r="Q117">
        <v>89570</v>
      </c>
      <c r="R117">
        <v>157222</v>
      </c>
      <c r="T117" s="1"/>
    </row>
    <row r="118" spans="1:20" x14ac:dyDescent="0.2">
      <c r="A118" t="s">
        <v>119</v>
      </c>
      <c r="B118" s="2">
        <v>6079.4939999999997</v>
      </c>
      <c r="C118" s="2">
        <v>31.225999999999999</v>
      </c>
      <c r="D118" s="1">
        <v>57.2</v>
      </c>
      <c r="E118" s="2">
        <v>774.71100000000001</v>
      </c>
      <c r="F118" s="3">
        <v>219427</v>
      </c>
      <c r="G118" s="4">
        <v>89.679030612234598</v>
      </c>
      <c r="H118" s="5">
        <v>5.293333333333333</v>
      </c>
      <c r="I118">
        <v>4.72</v>
      </c>
      <c r="J118" s="2">
        <v>3933.268</v>
      </c>
      <c r="K118" s="6">
        <v>2.6820697777560798</v>
      </c>
      <c r="L118">
        <v>7.5</v>
      </c>
      <c r="M118">
        <v>1.75</v>
      </c>
      <c r="N118">
        <f t="shared" si="1"/>
        <v>133.8904738240183</v>
      </c>
      <c r="O118" s="5">
        <v>4.66</v>
      </c>
      <c r="P118">
        <v>35.799999999999997</v>
      </c>
      <c r="Q118">
        <v>90359</v>
      </c>
      <c r="R118">
        <v>157911</v>
      </c>
      <c r="T118" s="1"/>
    </row>
    <row r="119" spans="1:20" x14ac:dyDescent="0.2">
      <c r="A119" t="s">
        <v>120</v>
      </c>
      <c r="B119" s="2">
        <v>6197.6859999999997</v>
      </c>
      <c r="C119" s="2">
        <v>31.76</v>
      </c>
      <c r="D119" s="1">
        <v>57.766666666666666</v>
      </c>
      <c r="E119" s="2">
        <v>830.25099999999998</v>
      </c>
      <c r="F119" s="3">
        <v>219956</v>
      </c>
      <c r="G119" s="4">
        <v>90.034625311048103</v>
      </c>
      <c r="H119" s="5">
        <v>5.3933333333333335</v>
      </c>
      <c r="I119">
        <v>5.64</v>
      </c>
      <c r="J119" s="2">
        <v>3954.596</v>
      </c>
      <c r="K119" s="6">
        <v>2.6556076765671399</v>
      </c>
      <c r="L119">
        <v>7.1333333333333329</v>
      </c>
      <c r="M119">
        <v>2.4</v>
      </c>
      <c r="N119">
        <f t="shared" si="1"/>
        <v>134.69381666696242</v>
      </c>
      <c r="O119" s="5">
        <v>5.1566666666666663</v>
      </c>
      <c r="P119">
        <v>36</v>
      </c>
      <c r="Q119">
        <v>91661</v>
      </c>
      <c r="R119">
        <v>158652</v>
      </c>
      <c r="T119" s="1"/>
    </row>
    <row r="120" spans="1:20" x14ac:dyDescent="0.2">
      <c r="A120" t="s">
        <v>121</v>
      </c>
      <c r="B120" s="2">
        <v>6309.5140000000001</v>
      </c>
      <c r="C120" s="2">
        <v>32.237000000000002</v>
      </c>
      <c r="D120" s="1">
        <v>57.966666666666669</v>
      </c>
      <c r="E120" s="2">
        <v>872.26400000000001</v>
      </c>
      <c r="F120" s="3">
        <v>220573</v>
      </c>
      <c r="G120" s="4">
        <v>90.243297528422403</v>
      </c>
      <c r="H120" s="5">
        <v>5.4833333333333334</v>
      </c>
      <c r="I120">
        <v>6.46</v>
      </c>
      <c r="J120" s="2">
        <v>3991.989</v>
      </c>
      <c r="K120" s="6">
        <v>2.6551817415468801</v>
      </c>
      <c r="L120">
        <v>6.8999999999999995</v>
      </c>
      <c r="M120">
        <v>2.2000000000000002</v>
      </c>
      <c r="N120">
        <f t="shared" si="1"/>
        <v>135.43463265863073</v>
      </c>
      <c r="O120" s="5">
        <v>5.82</v>
      </c>
      <c r="P120">
        <v>35.9</v>
      </c>
      <c r="Q120">
        <v>92409</v>
      </c>
      <c r="R120">
        <v>159430</v>
      </c>
      <c r="T120" s="1"/>
    </row>
    <row r="121" spans="1:20" x14ac:dyDescent="0.2">
      <c r="A121" t="s">
        <v>122</v>
      </c>
      <c r="B121" s="2">
        <v>6309.652</v>
      </c>
      <c r="C121" s="2">
        <v>32.695</v>
      </c>
      <c r="D121" s="1">
        <v>58.5</v>
      </c>
      <c r="E121" s="2">
        <v>850.38300000000004</v>
      </c>
      <c r="F121" s="3">
        <v>221201</v>
      </c>
      <c r="G121" s="4">
        <v>90.717450015623399</v>
      </c>
      <c r="H121" s="5">
        <v>5.58</v>
      </c>
      <c r="I121">
        <v>6.53</v>
      </c>
      <c r="J121" s="2">
        <v>4052.01</v>
      </c>
      <c r="K121" s="6">
        <v>2.6657164844772199</v>
      </c>
      <c r="L121">
        <v>6.666666666666667</v>
      </c>
      <c r="M121">
        <v>-0.3</v>
      </c>
      <c r="N121">
        <f t="shared" si="1"/>
        <v>135.33305668413675</v>
      </c>
      <c r="O121" s="5">
        <v>6.5133333333333336</v>
      </c>
      <c r="P121">
        <v>35.9</v>
      </c>
      <c r="Q121">
        <v>93639</v>
      </c>
      <c r="R121">
        <v>160140</v>
      </c>
      <c r="T121" s="1"/>
    </row>
    <row r="122" spans="1:20" x14ac:dyDescent="0.2">
      <c r="A122" t="s">
        <v>123</v>
      </c>
      <c r="B122" s="2">
        <v>6329.7910000000002</v>
      </c>
      <c r="C122" s="2">
        <v>33.229999999999997</v>
      </c>
      <c r="D122" s="1">
        <v>58.8</v>
      </c>
      <c r="E122" s="2">
        <v>866.95699999999999</v>
      </c>
      <c r="F122" s="3">
        <v>221719</v>
      </c>
      <c r="G122" s="4">
        <v>90.892386239250001</v>
      </c>
      <c r="H122" s="5">
        <v>5.6933333333333334</v>
      </c>
      <c r="I122">
        <v>6.97</v>
      </c>
      <c r="J122" s="2">
        <v>4074.7739999999999</v>
      </c>
      <c r="K122" s="6">
        <v>2.6718234376308598</v>
      </c>
      <c r="L122">
        <v>6.333333333333333</v>
      </c>
      <c r="M122">
        <v>0.52500000000000002</v>
      </c>
      <c r="N122">
        <f t="shared" si="1"/>
        <v>135.5106813210347</v>
      </c>
      <c r="O122" s="5">
        <v>6.7566666666666668</v>
      </c>
      <c r="P122">
        <v>35.6</v>
      </c>
      <c r="Q122">
        <v>94553</v>
      </c>
      <c r="R122">
        <v>160829</v>
      </c>
      <c r="T122" s="1"/>
    </row>
    <row r="123" spans="1:20" x14ac:dyDescent="0.2">
      <c r="A123" t="s">
        <v>124</v>
      </c>
      <c r="B123" s="2">
        <v>6574.39</v>
      </c>
      <c r="C123" s="2">
        <v>33.911999999999999</v>
      </c>
      <c r="D123" s="1">
        <v>59.333333333333336</v>
      </c>
      <c r="E123" s="2">
        <v>923.26599999999996</v>
      </c>
      <c r="F123" s="3">
        <v>222281</v>
      </c>
      <c r="G123" s="4">
        <v>91.062190773909293</v>
      </c>
      <c r="H123" s="5">
        <v>5.8233333333333333</v>
      </c>
      <c r="I123">
        <v>8.01</v>
      </c>
      <c r="J123" s="2">
        <v>4161.8869999999997</v>
      </c>
      <c r="K123" s="6">
        <v>2.6607909399834502</v>
      </c>
      <c r="L123">
        <v>6</v>
      </c>
      <c r="M123">
        <v>5.3250000000000002</v>
      </c>
      <c r="N123">
        <f t="shared" si="1"/>
        <v>137.31466726612098</v>
      </c>
      <c r="O123" s="5">
        <v>7.2833333333333332</v>
      </c>
      <c r="P123">
        <v>35.799999999999997</v>
      </c>
      <c r="Q123">
        <v>95835</v>
      </c>
      <c r="R123">
        <v>161525</v>
      </c>
      <c r="T123" s="1"/>
    </row>
    <row r="124" spans="1:20" x14ac:dyDescent="0.2">
      <c r="A124" t="s">
        <v>125</v>
      </c>
      <c r="B124" s="2">
        <v>6640.4970000000003</v>
      </c>
      <c r="C124" s="2">
        <v>34.508000000000003</v>
      </c>
      <c r="D124" s="1">
        <v>59.4</v>
      </c>
      <c r="E124" s="2">
        <v>950.16600000000005</v>
      </c>
      <c r="F124" s="3">
        <v>222933</v>
      </c>
      <c r="G124" s="4">
        <v>90.993252149450896</v>
      </c>
      <c r="H124" s="5">
        <v>5.93</v>
      </c>
      <c r="I124">
        <v>8.9</v>
      </c>
      <c r="J124" s="2">
        <v>4179.3630000000003</v>
      </c>
      <c r="K124" s="6">
        <v>2.6500494425143</v>
      </c>
      <c r="L124">
        <v>6.0333333333333341</v>
      </c>
      <c r="M124">
        <v>0.92500000000000004</v>
      </c>
      <c r="N124">
        <f t="shared" si="1"/>
        <v>137.63220743417386</v>
      </c>
      <c r="O124" s="5">
        <v>8.1</v>
      </c>
      <c r="P124">
        <v>35.799999999999997</v>
      </c>
      <c r="Q124">
        <v>96397</v>
      </c>
      <c r="R124">
        <v>162265</v>
      </c>
      <c r="T124" s="1"/>
    </row>
    <row r="125" spans="1:20" x14ac:dyDescent="0.2">
      <c r="A125" t="s">
        <v>126</v>
      </c>
      <c r="B125" s="2">
        <v>6729.7550000000001</v>
      </c>
      <c r="C125" s="2">
        <v>35.161000000000001</v>
      </c>
      <c r="D125" s="1">
        <v>59.766666666666666</v>
      </c>
      <c r="E125" s="2">
        <v>972.13900000000001</v>
      </c>
      <c r="F125" s="3">
        <v>223583</v>
      </c>
      <c r="G125" s="4">
        <v>91.157254040667198</v>
      </c>
      <c r="H125" s="5">
        <v>6.0566666666666666</v>
      </c>
      <c r="I125">
        <v>10.84</v>
      </c>
      <c r="J125" s="2">
        <v>4213.0879999999997</v>
      </c>
      <c r="K125" s="6">
        <v>2.6302079453885998</v>
      </c>
      <c r="L125">
        <v>5.8999999999999995</v>
      </c>
      <c r="M125">
        <v>1.925</v>
      </c>
      <c r="N125">
        <f t="shared" si="1"/>
        <v>138.29456243245085</v>
      </c>
      <c r="O125" s="5">
        <v>9.5833333333333339</v>
      </c>
      <c r="P125">
        <v>35.700000000000003</v>
      </c>
      <c r="Q125">
        <v>97400</v>
      </c>
      <c r="R125">
        <v>163024</v>
      </c>
      <c r="T125" s="1"/>
    </row>
    <row r="126" spans="1:20" x14ac:dyDescent="0.2">
      <c r="A126" t="s">
        <v>127</v>
      </c>
      <c r="B126" s="2">
        <v>6741.8540000000003</v>
      </c>
      <c r="C126" s="2">
        <v>35.825000000000003</v>
      </c>
      <c r="D126" s="1">
        <v>60</v>
      </c>
      <c r="E126" s="2">
        <v>973.75400000000002</v>
      </c>
      <c r="F126" s="3">
        <v>224152</v>
      </c>
      <c r="G126" s="4">
        <v>91.221284701896096</v>
      </c>
      <c r="H126" s="5">
        <v>6.1766666666666667</v>
      </c>
      <c r="I126">
        <v>10.07</v>
      </c>
      <c r="J126" s="2">
        <v>4234.9089999999997</v>
      </c>
      <c r="K126" s="6">
        <v>2.6026744007548799</v>
      </c>
      <c r="L126">
        <v>5.8666666666666671</v>
      </c>
      <c r="M126">
        <v>-0.2</v>
      </c>
      <c r="N126">
        <f t="shared" si="1"/>
        <v>138.22541515123461</v>
      </c>
      <c r="O126" s="5">
        <v>10.073333333333334</v>
      </c>
      <c r="P126">
        <v>35.700000000000003</v>
      </c>
      <c r="Q126">
        <v>98252</v>
      </c>
      <c r="R126">
        <v>163756</v>
      </c>
      <c r="T126" s="1"/>
    </row>
    <row r="127" spans="1:20" x14ac:dyDescent="0.2">
      <c r="A127" t="s">
        <v>128</v>
      </c>
      <c r="B127" s="2">
        <v>6749.0630000000001</v>
      </c>
      <c r="C127" s="2">
        <v>36.805</v>
      </c>
      <c r="D127" s="1">
        <v>59.833333333333336</v>
      </c>
      <c r="E127" s="2">
        <v>972.87699999999995</v>
      </c>
      <c r="F127" s="3">
        <v>224737</v>
      </c>
      <c r="G127" s="4">
        <v>91.241021736657302</v>
      </c>
      <c r="H127" s="5">
        <v>6.2666666666666666</v>
      </c>
      <c r="I127">
        <v>10.54</v>
      </c>
      <c r="J127" s="2">
        <v>4232.1589999999997</v>
      </c>
      <c r="K127" s="6">
        <v>2.5660751198306002</v>
      </c>
      <c r="L127">
        <v>5.6999999999999993</v>
      </c>
      <c r="M127">
        <v>0.125</v>
      </c>
      <c r="N127">
        <f t="shared" si="1"/>
        <v>138.26861059346936</v>
      </c>
      <c r="O127" s="5">
        <v>10.18</v>
      </c>
      <c r="P127">
        <v>35.5</v>
      </c>
      <c r="Q127">
        <v>98371</v>
      </c>
      <c r="R127">
        <v>164447</v>
      </c>
      <c r="T127" s="1"/>
    </row>
    <row r="128" spans="1:20" x14ac:dyDescent="0.2">
      <c r="A128" t="s">
        <v>129</v>
      </c>
      <c r="B128" s="2">
        <v>6799.2</v>
      </c>
      <c r="C128" s="2">
        <v>37.719000000000001</v>
      </c>
      <c r="D128" s="1">
        <v>59.93333333333333</v>
      </c>
      <c r="E128" s="2">
        <v>956.49300000000005</v>
      </c>
      <c r="F128" s="3">
        <v>225418</v>
      </c>
      <c r="G128" s="4">
        <v>91.231474079503002</v>
      </c>
      <c r="H128" s="5">
        <v>6.4033333333333333</v>
      </c>
      <c r="I128">
        <v>12.16</v>
      </c>
      <c r="J128" s="2">
        <v>4273.3419999999996</v>
      </c>
      <c r="K128" s="6">
        <v>2.5322624060469798</v>
      </c>
      <c r="L128">
        <v>5.8666666666666671</v>
      </c>
      <c r="M128">
        <v>0.8</v>
      </c>
      <c r="N128">
        <f t="shared" si="1"/>
        <v>138.5451478146563</v>
      </c>
      <c r="O128" s="5">
        <v>10.946666666666667</v>
      </c>
      <c r="P128">
        <v>35.6</v>
      </c>
      <c r="Q128">
        <v>99041</v>
      </c>
      <c r="R128">
        <v>165200</v>
      </c>
      <c r="T128" s="1"/>
    </row>
    <row r="129" spans="1:20" x14ac:dyDescent="0.2">
      <c r="A129" t="s">
        <v>130</v>
      </c>
      <c r="B129" s="2">
        <v>6816.2030000000004</v>
      </c>
      <c r="C129" s="2">
        <v>38.633000000000003</v>
      </c>
      <c r="D129" s="1">
        <v>60</v>
      </c>
      <c r="E129" s="2">
        <v>939.52599999999995</v>
      </c>
      <c r="F129" s="3">
        <v>226117</v>
      </c>
      <c r="G129" s="4">
        <v>90.906931761843296</v>
      </c>
      <c r="H129" s="5">
        <v>6.51</v>
      </c>
      <c r="I129">
        <v>14.77</v>
      </c>
      <c r="J129" s="2">
        <v>4283.9750000000004</v>
      </c>
      <c r="K129" s="6">
        <v>2.5075706702380098</v>
      </c>
      <c r="L129">
        <v>5.9666666666666659</v>
      </c>
      <c r="M129">
        <v>0.1</v>
      </c>
      <c r="N129">
        <f t="shared" si="1"/>
        <v>138.57978410160999</v>
      </c>
      <c r="O129" s="5">
        <v>13.576666666666666</v>
      </c>
      <c r="P129">
        <v>35.6</v>
      </c>
      <c r="Q129">
        <v>99637</v>
      </c>
      <c r="R129">
        <v>166055</v>
      </c>
      <c r="T129" s="1"/>
    </row>
    <row r="130" spans="1:20" x14ac:dyDescent="0.2">
      <c r="A130" t="s">
        <v>131</v>
      </c>
      <c r="B130" s="2">
        <v>6837.6409999999996</v>
      </c>
      <c r="C130" s="2">
        <v>39.792999999999999</v>
      </c>
      <c r="D130" s="1">
        <v>59.9</v>
      </c>
      <c r="E130" s="2">
        <v>933.101</v>
      </c>
      <c r="F130" s="3">
        <v>226754</v>
      </c>
      <c r="G130" s="4">
        <v>90.350779024569704</v>
      </c>
      <c r="H130" s="5">
        <v>6.63</v>
      </c>
      <c r="I130">
        <v>19.850000000000001</v>
      </c>
      <c r="J130" s="2">
        <v>4277.8509999999997</v>
      </c>
      <c r="K130" s="6">
        <v>2.49068570065318</v>
      </c>
      <c r="L130">
        <v>6.3</v>
      </c>
      <c r="M130">
        <v>0.22500000000000001</v>
      </c>
      <c r="N130">
        <f t="shared" si="1"/>
        <v>138.65773523016713</v>
      </c>
      <c r="O130" s="5">
        <v>15.046666666666667</v>
      </c>
      <c r="P130">
        <v>35.4</v>
      </c>
      <c r="Q130">
        <v>99862</v>
      </c>
      <c r="R130">
        <v>166762</v>
      </c>
      <c r="T130" s="1"/>
    </row>
    <row r="131" spans="1:20" x14ac:dyDescent="0.2">
      <c r="A131" t="s">
        <v>132</v>
      </c>
      <c r="B131" s="2">
        <v>6696.7529999999997</v>
      </c>
      <c r="C131" s="2">
        <v>40.768000000000001</v>
      </c>
      <c r="D131" s="1">
        <v>59.133333333333333</v>
      </c>
      <c r="E131" s="2">
        <v>853.76</v>
      </c>
      <c r="F131" s="3">
        <v>227389</v>
      </c>
      <c r="G131" s="4">
        <v>89.147185578590296</v>
      </c>
      <c r="H131" s="5">
        <v>6.7666666666666666</v>
      </c>
      <c r="I131">
        <v>10.44</v>
      </c>
      <c r="J131" s="2">
        <v>4181.51</v>
      </c>
      <c r="K131" s="6">
        <v>2.4827300178626399</v>
      </c>
      <c r="L131">
        <v>7.333333333333333</v>
      </c>
      <c r="M131">
        <v>-2.7250000000000001</v>
      </c>
      <c r="N131">
        <f t="shared" si="1"/>
        <v>137.71312940891161</v>
      </c>
      <c r="O131" s="5">
        <v>12.686666666666667</v>
      </c>
      <c r="P131">
        <v>35.1</v>
      </c>
      <c r="Q131">
        <v>98953</v>
      </c>
      <c r="R131">
        <v>167416</v>
      </c>
      <c r="T131" s="1"/>
    </row>
    <row r="132" spans="1:20" x14ac:dyDescent="0.2">
      <c r="A132" t="s">
        <v>133</v>
      </c>
      <c r="B132" s="2">
        <v>6688.7939999999999</v>
      </c>
      <c r="C132" s="2">
        <v>41.722999999999999</v>
      </c>
      <c r="D132" s="1">
        <v>58.833333333333336</v>
      </c>
      <c r="E132" s="2">
        <v>797.41099999999994</v>
      </c>
      <c r="F132" s="3">
        <v>228070</v>
      </c>
      <c r="G132" s="4">
        <v>88.720967231647705</v>
      </c>
      <c r="H132" s="5">
        <v>6.9066666666666663</v>
      </c>
      <c r="I132">
        <v>13.19</v>
      </c>
      <c r="J132" s="2">
        <v>4227.3789999999999</v>
      </c>
      <c r="K132" s="6">
        <v>2.4702229976804402</v>
      </c>
      <c r="L132">
        <v>7.666666666666667</v>
      </c>
      <c r="M132">
        <v>-0.05</v>
      </c>
      <c r="N132">
        <f t="shared" si="1"/>
        <v>137.6959152677355</v>
      </c>
      <c r="O132" s="5">
        <v>9.836666666666666</v>
      </c>
      <c r="P132">
        <v>35</v>
      </c>
      <c r="Q132">
        <v>98899</v>
      </c>
      <c r="R132">
        <v>168111</v>
      </c>
      <c r="T132" s="1"/>
    </row>
    <row r="133" spans="1:20" x14ac:dyDescent="0.2">
      <c r="A133" t="s">
        <v>134</v>
      </c>
      <c r="B133" s="2">
        <v>6813.5349999999999</v>
      </c>
      <c r="C133" s="2">
        <v>42.756</v>
      </c>
      <c r="D133" s="1">
        <v>58.966666666666669</v>
      </c>
      <c r="E133" s="2">
        <v>871.73299999999995</v>
      </c>
      <c r="F133" s="3">
        <v>228689</v>
      </c>
      <c r="G133" s="4">
        <v>89.147281736702695</v>
      </c>
      <c r="H133" s="5">
        <v>7.08</v>
      </c>
      <c r="I133">
        <v>22</v>
      </c>
      <c r="J133" s="2">
        <v>4284.4939999999997</v>
      </c>
      <c r="K133" s="6">
        <v>2.45347774674743</v>
      </c>
      <c r="L133">
        <v>7.3999999999999995</v>
      </c>
      <c r="M133">
        <v>2.4500000000000002</v>
      </c>
      <c r="N133">
        <f t="shared" si="1"/>
        <v>138.53930274875037</v>
      </c>
      <c r="O133" s="5">
        <v>15.853333333333333</v>
      </c>
      <c r="P133">
        <v>35.299999999999997</v>
      </c>
      <c r="Q133">
        <v>99499</v>
      </c>
      <c r="R133">
        <v>168694</v>
      </c>
      <c r="T133" s="1"/>
    </row>
    <row r="134" spans="1:20" x14ac:dyDescent="0.2">
      <c r="A134" t="s">
        <v>135</v>
      </c>
      <c r="B134" s="2">
        <v>6947.0420000000004</v>
      </c>
      <c r="C134" s="2">
        <v>43.866</v>
      </c>
      <c r="D134" s="1">
        <v>59.233333333333334</v>
      </c>
      <c r="E134" s="2">
        <v>952.41800000000001</v>
      </c>
      <c r="F134" s="3">
        <v>229155</v>
      </c>
      <c r="G134" s="4">
        <v>89.196315041147002</v>
      </c>
      <c r="H134" s="5">
        <v>7.2333333333333334</v>
      </c>
      <c r="I134">
        <v>14.63</v>
      </c>
      <c r="J134" s="2">
        <v>4298.8469999999998</v>
      </c>
      <c r="K134" s="6">
        <v>2.4378418945959499</v>
      </c>
      <c r="L134">
        <v>7.4333333333333336</v>
      </c>
      <c r="M134">
        <v>2.2000000000000002</v>
      </c>
      <c r="N134">
        <f t="shared" si="1"/>
        <v>139.30126891386851</v>
      </c>
      <c r="O134" s="5">
        <v>16.57</v>
      </c>
      <c r="P134">
        <v>35.299999999999997</v>
      </c>
      <c r="Q134">
        <v>100239</v>
      </c>
      <c r="R134">
        <v>169279</v>
      </c>
      <c r="T134" s="1"/>
    </row>
    <row r="135" spans="1:20" x14ac:dyDescent="0.2">
      <c r="A135" t="s">
        <v>136</v>
      </c>
      <c r="B135" s="2">
        <v>6895.5590000000002</v>
      </c>
      <c r="C135" s="2">
        <v>44.601999999999997</v>
      </c>
      <c r="D135" s="1">
        <v>59.366666666666667</v>
      </c>
      <c r="E135" s="2">
        <v>912.94500000000005</v>
      </c>
      <c r="F135" s="3">
        <v>229674</v>
      </c>
      <c r="G135" s="4">
        <v>89.479197849104594</v>
      </c>
      <c r="H135" s="5">
        <v>7.37</v>
      </c>
      <c r="I135">
        <v>18.64</v>
      </c>
      <c r="J135" s="2">
        <v>4299.16</v>
      </c>
      <c r="K135" s="6">
        <v>2.44933052095727</v>
      </c>
      <c r="L135">
        <v>7.3999999999999995</v>
      </c>
      <c r="M135">
        <v>-1.2</v>
      </c>
      <c r="N135">
        <f t="shared" ref="N135:N198" si="2">N134*(1+M135/400)</f>
        <v>138.88336510712691</v>
      </c>
      <c r="O135" s="5">
        <v>17.78</v>
      </c>
      <c r="P135">
        <v>35.299999999999997</v>
      </c>
      <c r="Q135">
        <v>100801</v>
      </c>
      <c r="R135">
        <v>169837</v>
      </c>
      <c r="T135" s="1"/>
    </row>
    <row r="136" spans="1:20" x14ac:dyDescent="0.2">
      <c r="A136" t="s">
        <v>137</v>
      </c>
      <c r="B136" s="2">
        <v>6978.1350000000002</v>
      </c>
      <c r="C136" s="2">
        <v>45.335999999999999</v>
      </c>
      <c r="D136" s="1">
        <v>58.966666666666669</v>
      </c>
      <c r="E136" s="2">
        <v>964.40099999999995</v>
      </c>
      <c r="F136" s="3">
        <v>230301</v>
      </c>
      <c r="G136" s="4">
        <v>89.096808232452204</v>
      </c>
      <c r="H136" s="5">
        <v>7.51</v>
      </c>
      <c r="I136">
        <v>16.579999999999998</v>
      </c>
      <c r="J136" s="2">
        <v>4319.0469999999996</v>
      </c>
      <c r="K136" s="6">
        <v>2.4494890720473999</v>
      </c>
      <c r="L136">
        <v>7.4000000000000012</v>
      </c>
      <c r="M136">
        <v>0.9</v>
      </c>
      <c r="N136">
        <f t="shared" si="2"/>
        <v>139.19585267861797</v>
      </c>
      <c r="O136" s="5">
        <v>17.576666666666668</v>
      </c>
      <c r="P136">
        <v>35.1</v>
      </c>
      <c r="Q136">
        <v>100482</v>
      </c>
      <c r="R136">
        <v>170413</v>
      </c>
      <c r="T136" s="1"/>
    </row>
    <row r="137" spans="1:20" x14ac:dyDescent="0.2">
      <c r="A137" t="s">
        <v>138</v>
      </c>
      <c r="B137" s="2">
        <v>6902.1049999999996</v>
      </c>
      <c r="C137" s="2">
        <v>46.03</v>
      </c>
      <c r="D137" s="1">
        <v>58.533333333333331</v>
      </c>
      <c r="E137" s="2">
        <v>930.44</v>
      </c>
      <c r="F137" s="3">
        <v>230903</v>
      </c>
      <c r="G137" s="4">
        <v>88.152283096444194</v>
      </c>
      <c r="H137" s="5">
        <v>7.62</v>
      </c>
      <c r="I137">
        <v>13.13</v>
      </c>
      <c r="J137" s="2">
        <v>4289.5039999999999</v>
      </c>
      <c r="K137" s="6">
        <v>2.4584214786719798</v>
      </c>
      <c r="L137">
        <v>8.2333333333333343</v>
      </c>
      <c r="M137">
        <v>-1.45</v>
      </c>
      <c r="N137">
        <f t="shared" si="2"/>
        <v>138.69126771265798</v>
      </c>
      <c r="O137" s="5">
        <v>13.586666666666666</v>
      </c>
      <c r="P137">
        <v>35</v>
      </c>
      <c r="Q137">
        <v>100077</v>
      </c>
      <c r="R137">
        <v>170990</v>
      </c>
      <c r="T137" s="1"/>
    </row>
    <row r="138" spans="1:20" x14ac:dyDescent="0.2">
      <c r="A138" t="s">
        <v>139</v>
      </c>
      <c r="B138" s="2">
        <v>6794.8779999999997</v>
      </c>
      <c r="C138" s="2">
        <v>46.612000000000002</v>
      </c>
      <c r="D138" s="1">
        <v>58.166666666666664</v>
      </c>
      <c r="E138" s="2">
        <v>842.42899999999997</v>
      </c>
      <c r="F138" s="3">
        <v>231395</v>
      </c>
      <c r="G138" s="4">
        <v>87.551028044165705</v>
      </c>
      <c r="H138" s="5">
        <v>7.73</v>
      </c>
      <c r="I138">
        <v>16.8</v>
      </c>
      <c r="J138" s="2">
        <v>4321.1000000000004</v>
      </c>
      <c r="K138" s="6">
        <v>2.4599155366859802</v>
      </c>
      <c r="L138">
        <v>8.8333333333333339</v>
      </c>
      <c r="M138">
        <v>-2.1</v>
      </c>
      <c r="N138">
        <f t="shared" si="2"/>
        <v>137.96313855716653</v>
      </c>
      <c r="O138" s="5">
        <v>14.226666666666667</v>
      </c>
      <c r="P138">
        <v>34.700000000000003</v>
      </c>
      <c r="Q138">
        <v>99709</v>
      </c>
      <c r="R138">
        <v>171497</v>
      </c>
      <c r="T138" s="1"/>
    </row>
    <row r="139" spans="1:20" x14ac:dyDescent="0.2">
      <c r="A139" t="s">
        <v>140</v>
      </c>
      <c r="B139" s="2">
        <v>6825.8760000000002</v>
      </c>
      <c r="C139" s="2">
        <v>47.058999999999997</v>
      </c>
      <c r="D139" s="1">
        <v>57.966666666666669</v>
      </c>
      <c r="E139" s="2">
        <v>841.78899999999999</v>
      </c>
      <c r="F139" s="3">
        <v>231906</v>
      </c>
      <c r="G139" s="4">
        <v>86.953778789777303</v>
      </c>
      <c r="H139" s="5">
        <v>7.82</v>
      </c>
      <c r="I139">
        <v>14.58</v>
      </c>
      <c r="J139" s="2">
        <v>4334.2619999999997</v>
      </c>
      <c r="K139" s="6">
        <v>2.4655282087547299</v>
      </c>
      <c r="L139">
        <v>9.4333333333333353</v>
      </c>
      <c r="M139">
        <v>0.47499999999999998</v>
      </c>
      <c r="N139">
        <f t="shared" si="2"/>
        <v>138.12696978420314</v>
      </c>
      <c r="O139" s="5">
        <v>14.513333333333334</v>
      </c>
      <c r="P139">
        <v>34.799999999999997</v>
      </c>
      <c r="Q139">
        <v>99745</v>
      </c>
      <c r="R139">
        <v>172020</v>
      </c>
      <c r="T139" s="1"/>
    </row>
    <row r="140" spans="1:20" x14ac:dyDescent="0.2">
      <c r="A140" t="s">
        <v>141</v>
      </c>
      <c r="B140" s="2">
        <v>6799.7809999999999</v>
      </c>
      <c r="C140" s="2">
        <v>47.8</v>
      </c>
      <c r="D140" s="1">
        <v>57.7</v>
      </c>
      <c r="E140" s="2">
        <v>834.07500000000005</v>
      </c>
      <c r="F140" s="3">
        <v>232498</v>
      </c>
      <c r="G140" s="4">
        <v>86.093265438409006</v>
      </c>
      <c r="H140" s="5">
        <v>7.9266666666666667</v>
      </c>
      <c r="I140">
        <v>12.17</v>
      </c>
      <c r="J140" s="2">
        <v>4363.3180000000002</v>
      </c>
      <c r="K140" s="6">
        <v>2.4384190941428701</v>
      </c>
      <c r="L140">
        <v>9.9</v>
      </c>
      <c r="M140">
        <v>-0.52500000000000002</v>
      </c>
      <c r="N140">
        <f t="shared" si="2"/>
        <v>137.94567813636138</v>
      </c>
      <c r="O140" s="5">
        <v>11.006666666666666</v>
      </c>
      <c r="P140">
        <v>34.799999999999997</v>
      </c>
      <c r="Q140">
        <v>99543</v>
      </c>
      <c r="R140">
        <v>172522</v>
      </c>
      <c r="T140" s="1"/>
    </row>
    <row r="141" spans="1:20" x14ac:dyDescent="0.2">
      <c r="A141" t="s">
        <v>142</v>
      </c>
      <c r="B141" s="2">
        <v>6802.4970000000003</v>
      </c>
      <c r="C141" s="2">
        <v>48.326000000000001</v>
      </c>
      <c r="D141" s="1">
        <v>57.3</v>
      </c>
      <c r="E141" s="2">
        <v>769.60199999999998</v>
      </c>
      <c r="F141" s="3">
        <v>233074</v>
      </c>
      <c r="G141" s="4">
        <v>85.319976931586794</v>
      </c>
      <c r="H141" s="5">
        <v>7.9833333333333334</v>
      </c>
      <c r="I141">
        <v>11.2</v>
      </c>
      <c r="J141" s="2">
        <v>4439.7489999999998</v>
      </c>
      <c r="K141" s="6">
        <v>2.4175439654556601</v>
      </c>
      <c r="L141">
        <v>10.666666666666666</v>
      </c>
      <c r="M141">
        <v>-0.1</v>
      </c>
      <c r="N141">
        <f t="shared" si="2"/>
        <v>137.91119171682729</v>
      </c>
      <c r="O141" s="5">
        <v>9.2866666666666671</v>
      </c>
      <c r="P141">
        <v>34.6</v>
      </c>
      <c r="Q141">
        <v>99120</v>
      </c>
      <c r="R141">
        <v>173046</v>
      </c>
      <c r="T141" s="1"/>
    </row>
    <row r="142" spans="1:20" x14ac:dyDescent="0.2">
      <c r="A142" t="s">
        <v>143</v>
      </c>
      <c r="B142" s="2">
        <v>6892.1440000000002</v>
      </c>
      <c r="C142" s="2">
        <v>48.723999999999997</v>
      </c>
      <c r="D142" s="1">
        <v>57.133333333333333</v>
      </c>
      <c r="E142" s="2">
        <v>796.26599999999996</v>
      </c>
      <c r="F142" s="3">
        <v>233546</v>
      </c>
      <c r="G142" s="4">
        <v>85.400063476330502</v>
      </c>
      <c r="H142" s="5">
        <v>8.0833333333333339</v>
      </c>
      <c r="I142">
        <v>10.81</v>
      </c>
      <c r="J142" s="2">
        <v>4483.6450000000004</v>
      </c>
      <c r="K142" s="6">
        <v>2.3998052796181102</v>
      </c>
      <c r="L142">
        <v>10.366666666666667</v>
      </c>
      <c r="M142">
        <v>1.9750000000000001</v>
      </c>
      <c r="N142">
        <f t="shared" si="2"/>
        <v>138.59212822592912</v>
      </c>
      <c r="O142" s="5">
        <v>8.6533333333333324</v>
      </c>
      <c r="P142">
        <v>34.700000000000003</v>
      </c>
      <c r="Q142">
        <v>99143</v>
      </c>
      <c r="R142">
        <v>173505</v>
      </c>
      <c r="T142" s="1"/>
    </row>
    <row r="143" spans="1:20" x14ac:dyDescent="0.2">
      <c r="A143" t="s">
        <v>144</v>
      </c>
      <c r="B143" s="2">
        <v>7048.982</v>
      </c>
      <c r="C143" s="2">
        <v>49.168999999999997</v>
      </c>
      <c r="D143" s="1">
        <v>57.466666666666669</v>
      </c>
      <c r="E143" s="2">
        <v>866.78399999999999</v>
      </c>
      <c r="F143" s="3">
        <v>234028</v>
      </c>
      <c r="G143" s="4">
        <v>85.678598841605194</v>
      </c>
      <c r="H143" s="5">
        <v>8.163333333333334</v>
      </c>
      <c r="I143">
        <v>10.06</v>
      </c>
      <c r="J143" s="2">
        <v>4574.9440000000004</v>
      </c>
      <c r="K143" s="6">
        <v>2.3729367593838901</v>
      </c>
      <c r="L143">
        <v>10.133333333333333</v>
      </c>
      <c r="M143">
        <v>3.5249999999999999</v>
      </c>
      <c r="N143">
        <f t="shared" si="2"/>
        <v>139.81347135592011</v>
      </c>
      <c r="O143" s="5">
        <v>8.8033333333333328</v>
      </c>
      <c r="P143">
        <v>34.9</v>
      </c>
      <c r="Q143">
        <v>99945</v>
      </c>
      <c r="R143">
        <v>173957</v>
      </c>
      <c r="T143" s="1"/>
    </row>
    <row r="144" spans="1:20" x14ac:dyDescent="0.2">
      <c r="A144" t="s">
        <v>145</v>
      </c>
      <c r="B144" s="2">
        <v>7189.8959999999997</v>
      </c>
      <c r="C144" s="2">
        <v>49.814999999999998</v>
      </c>
      <c r="D144" s="1">
        <v>58.233333333333334</v>
      </c>
      <c r="E144" s="2">
        <v>921.05100000000004</v>
      </c>
      <c r="F144" s="3">
        <v>234603</v>
      </c>
      <c r="G144" s="4">
        <v>86.361868395424295</v>
      </c>
      <c r="H144" s="5">
        <v>8.23</v>
      </c>
      <c r="I144">
        <v>10.59</v>
      </c>
      <c r="J144" s="2">
        <v>4656.982</v>
      </c>
      <c r="K144" s="6">
        <v>2.33972348132429</v>
      </c>
      <c r="L144">
        <v>9.3666666666666654</v>
      </c>
      <c r="M144">
        <v>2.5499999999999998</v>
      </c>
      <c r="N144">
        <f t="shared" si="2"/>
        <v>140.70478223581412</v>
      </c>
      <c r="O144" s="5">
        <v>9.4600000000000009</v>
      </c>
      <c r="P144">
        <v>34.9</v>
      </c>
      <c r="Q144">
        <v>101611</v>
      </c>
      <c r="R144">
        <v>174449</v>
      </c>
      <c r="T144" s="1"/>
    </row>
    <row r="145" spans="1:20" x14ac:dyDescent="0.2">
      <c r="A145" t="s">
        <v>146</v>
      </c>
      <c r="B145" s="2">
        <v>7339.893</v>
      </c>
      <c r="C145" s="2">
        <v>50.146000000000001</v>
      </c>
      <c r="D145" s="1">
        <v>58.633333333333333</v>
      </c>
      <c r="E145" s="2">
        <v>1010.654</v>
      </c>
      <c r="F145" s="3">
        <v>235153</v>
      </c>
      <c r="G145" s="4">
        <v>87.072505485479795</v>
      </c>
      <c r="H145" s="5">
        <v>8.3166666666666664</v>
      </c>
      <c r="I145">
        <v>9.92</v>
      </c>
      <c r="J145" s="2">
        <v>4731.1940000000004</v>
      </c>
      <c r="K145" s="6">
        <v>2.32487460291141</v>
      </c>
      <c r="L145">
        <v>8.5333333333333332</v>
      </c>
      <c r="M145">
        <v>2.5249999999999999</v>
      </c>
      <c r="N145">
        <f t="shared" si="2"/>
        <v>141.59298117367769</v>
      </c>
      <c r="O145" s="5">
        <v>9.43</v>
      </c>
      <c r="P145">
        <v>35.1</v>
      </c>
      <c r="Q145">
        <v>102588</v>
      </c>
      <c r="R145">
        <v>174950</v>
      </c>
      <c r="T145" s="1"/>
    </row>
    <row r="146" spans="1:20" x14ac:dyDescent="0.2">
      <c r="A146" t="s">
        <v>147</v>
      </c>
      <c r="B146" s="2">
        <v>7483.3710000000001</v>
      </c>
      <c r="C146" s="2">
        <v>50.69</v>
      </c>
      <c r="D146" s="1">
        <v>59</v>
      </c>
      <c r="E146" s="2">
        <v>1108.328</v>
      </c>
      <c r="F146" s="3">
        <v>235605</v>
      </c>
      <c r="G146" s="4">
        <v>87.841333595747699</v>
      </c>
      <c r="H146" s="5">
        <v>8.39</v>
      </c>
      <c r="I146">
        <v>10.24</v>
      </c>
      <c r="J146" s="2">
        <v>4770.4570000000003</v>
      </c>
      <c r="K146" s="6">
        <v>2.2808491238887298</v>
      </c>
      <c r="L146">
        <v>7.8666666666666671</v>
      </c>
      <c r="M146">
        <v>2.375</v>
      </c>
      <c r="N146">
        <f t="shared" si="2"/>
        <v>142.43368949939639</v>
      </c>
      <c r="O146" s="5">
        <v>9.6866666666666674</v>
      </c>
      <c r="P146">
        <v>35.200000000000003</v>
      </c>
      <c r="Q146">
        <v>103664</v>
      </c>
      <c r="R146">
        <v>175679</v>
      </c>
      <c r="T146" s="1"/>
    </row>
    <row r="147" spans="1:20" x14ac:dyDescent="0.2">
      <c r="A147" t="s">
        <v>148</v>
      </c>
      <c r="B147" s="2">
        <v>7612.6679999999997</v>
      </c>
      <c r="C147" s="2">
        <v>51.183</v>
      </c>
      <c r="D147" s="1">
        <v>59.633333333333333</v>
      </c>
      <c r="E147" s="2">
        <v>1144.3710000000001</v>
      </c>
      <c r="F147" s="3">
        <v>236082</v>
      </c>
      <c r="G147" s="4">
        <v>88.307673113497799</v>
      </c>
      <c r="H147" s="5">
        <v>8.4600000000000009</v>
      </c>
      <c r="I147">
        <v>10.85</v>
      </c>
      <c r="J147" s="2">
        <v>4837.29</v>
      </c>
      <c r="K147" s="6">
        <v>2.2612472309778</v>
      </c>
      <c r="L147">
        <v>7.4333333333333336</v>
      </c>
      <c r="M147">
        <v>1.95</v>
      </c>
      <c r="N147">
        <f t="shared" si="2"/>
        <v>143.12805373570595</v>
      </c>
      <c r="O147" s="5">
        <v>10.556666666666667</v>
      </c>
      <c r="P147">
        <v>35.1</v>
      </c>
      <c r="Q147">
        <v>105040</v>
      </c>
      <c r="R147">
        <v>176125</v>
      </c>
      <c r="T147" s="1"/>
    </row>
    <row r="148" spans="1:20" x14ac:dyDescent="0.2">
      <c r="A148" t="s">
        <v>149</v>
      </c>
      <c r="B148" s="2">
        <v>7686.0590000000002</v>
      </c>
      <c r="C148" s="2">
        <v>51.579000000000001</v>
      </c>
      <c r="D148" s="1">
        <v>59.7</v>
      </c>
      <c r="E148" s="2">
        <v>1169.136</v>
      </c>
      <c r="F148" s="3">
        <v>236657</v>
      </c>
      <c r="G148" s="4">
        <v>88.684515953871099</v>
      </c>
      <c r="H148" s="5">
        <v>8.5233333333333334</v>
      </c>
      <c r="I148">
        <v>11.23</v>
      </c>
      <c r="J148" s="2">
        <v>4873.165</v>
      </c>
      <c r="K148" s="6">
        <v>2.2433993585977698</v>
      </c>
      <c r="L148">
        <v>7.4333333333333336</v>
      </c>
      <c r="M148">
        <v>0.9</v>
      </c>
      <c r="N148">
        <f t="shared" si="2"/>
        <v>143.45009185661129</v>
      </c>
      <c r="O148" s="5">
        <v>11.39</v>
      </c>
      <c r="P148">
        <v>35.1</v>
      </c>
      <c r="Q148">
        <v>105363</v>
      </c>
      <c r="R148">
        <v>176595</v>
      </c>
      <c r="T148" s="1"/>
    </row>
    <row r="149" spans="1:20" x14ac:dyDescent="0.2">
      <c r="A149" t="s">
        <v>150</v>
      </c>
      <c r="B149" s="2">
        <v>7749.1509999999998</v>
      </c>
      <c r="C149" s="2">
        <v>51.896999999999998</v>
      </c>
      <c r="D149" s="1">
        <v>59.8</v>
      </c>
      <c r="E149" s="2">
        <v>1153.971</v>
      </c>
      <c r="F149" s="3">
        <v>237232</v>
      </c>
      <c r="G149" s="4">
        <v>88.723238532697707</v>
      </c>
      <c r="H149" s="5">
        <v>8.5766666666666662</v>
      </c>
      <c r="I149">
        <v>8.74</v>
      </c>
      <c r="J149" s="2">
        <v>4936.2929999999997</v>
      </c>
      <c r="K149" s="6">
        <v>2.2305132031371402</v>
      </c>
      <c r="L149">
        <v>7.3000000000000007</v>
      </c>
      <c r="M149">
        <v>0.77500000000000002</v>
      </c>
      <c r="N149">
        <f t="shared" si="2"/>
        <v>143.72802640958346</v>
      </c>
      <c r="O149" s="5">
        <v>9.2666666666666675</v>
      </c>
      <c r="P149">
        <v>35</v>
      </c>
      <c r="Q149">
        <v>105944</v>
      </c>
      <c r="R149">
        <v>177132</v>
      </c>
      <c r="T149" s="1"/>
    </row>
    <row r="150" spans="1:20" x14ac:dyDescent="0.2">
      <c r="A150" t="s">
        <v>151</v>
      </c>
      <c r="B150" s="2">
        <v>7824.2470000000003</v>
      </c>
      <c r="C150" s="2">
        <v>52.508000000000003</v>
      </c>
      <c r="D150" s="1">
        <v>60.033333333333331</v>
      </c>
      <c r="E150" s="2">
        <v>1122.3309999999999</v>
      </c>
      <c r="F150" s="3">
        <v>237673</v>
      </c>
      <c r="G150" s="4">
        <v>88.6067573160758</v>
      </c>
      <c r="H150" s="5">
        <v>8.6366666666666667</v>
      </c>
      <c r="I150">
        <v>8.58</v>
      </c>
      <c r="J150" s="2">
        <v>5020.1629999999996</v>
      </c>
      <c r="K150" s="6">
        <v>2.2095826744498099</v>
      </c>
      <c r="L150">
        <v>7.2333333333333334</v>
      </c>
      <c r="M150">
        <v>1.125</v>
      </c>
      <c r="N150">
        <f t="shared" si="2"/>
        <v>144.13226148386045</v>
      </c>
      <c r="O150" s="5">
        <v>8.4766666666666666</v>
      </c>
      <c r="P150">
        <v>34.9</v>
      </c>
      <c r="Q150">
        <v>106615</v>
      </c>
      <c r="R150">
        <v>177522</v>
      </c>
      <c r="T150" s="1"/>
    </row>
    <row r="151" spans="1:20" x14ac:dyDescent="0.2">
      <c r="A151" t="s">
        <v>152</v>
      </c>
      <c r="B151" s="2">
        <v>7893.1360000000004</v>
      </c>
      <c r="C151" s="2">
        <v>52.933999999999997</v>
      </c>
      <c r="D151" s="1">
        <v>60</v>
      </c>
      <c r="E151" s="2">
        <v>1141.4469999999999</v>
      </c>
      <c r="F151" s="3">
        <v>238176</v>
      </c>
      <c r="G151" s="4">
        <v>88.619065481685297</v>
      </c>
      <c r="H151" s="5">
        <v>8.7100000000000009</v>
      </c>
      <c r="I151">
        <v>7.95</v>
      </c>
      <c r="J151" s="2">
        <v>5066.25</v>
      </c>
      <c r="K151" s="6">
        <v>2.1915806496669301</v>
      </c>
      <c r="L151">
        <v>7.3</v>
      </c>
      <c r="M151">
        <v>1</v>
      </c>
      <c r="N151">
        <f t="shared" si="2"/>
        <v>144.49259213757009</v>
      </c>
      <c r="O151" s="5">
        <v>7.9233333333333329</v>
      </c>
      <c r="P151">
        <v>34.9</v>
      </c>
      <c r="Q151">
        <v>106791</v>
      </c>
      <c r="R151">
        <v>177946</v>
      </c>
      <c r="T151" s="1"/>
    </row>
    <row r="152" spans="1:20" x14ac:dyDescent="0.2">
      <c r="A152" t="s">
        <v>153</v>
      </c>
      <c r="B152" s="2">
        <v>8013.674</v>
      </c>
      <c r="C152" s="2">
        <v>53.348999999999997</v>
      </c>
      <c r="D152" s="1">
        <v>60.06666666666667</v>
      </c>
      <c r="E152" s="2">
        <v>1133.665</v>
      </c>
      <c r="F152" s="3">
        <v>238789</v>
      </c>
      <c r="G152" s="4">
        <v>88.742534484055597</v>
      </c>
      <c r="H152" s="5">
        <v>8.7666666666666675</v>
      </c>
      <c r="I152">
        <v>8.84</v>
      </c>
      <c r="J152" s="2">
        <v>5162.4750000000004</v>
      </c>
      <c r="K152" s="6">
        <v>2.1728783413931199</v>
      </c>
      <c r="L152">
        <v>7.2</v>
      </c>
      <c r="M152">
        <v>1.6</v>
      </c>
      <c r="N152">
        <f t="shared" si="2"/>
        <v>145.07056250612035</v>
      </c>
      <c r="O152" s="5">
        <v>7.9</v>
      </c>
      <c r="P152">
        <v>34.799999999999997</v>
      </c>
      <c r="Q152">
        <v>107186</v>
      </c>
      <c r="R152">
        <v>178413</v>
      </c>
      <c r="T152" s="1"/>
    </row>
    <row r="153" spans="1:20" x14ac:dyDescent="0.2">
      <c r="A153" t="s">
        <v>154</v>
      </c>
      <c r="B153" s="2">
        <v>8073.2389999999996</v>
      </c>
      <c r="C153" s="2">
        <v>53.722000000000001</v>
      </c>
      <c r="D153" s="1">
        <v>60.366666666666667</v>
      </c>
      <c r="E153" s="2">
        <v>1175.45</v>
      </c>
      <c r="F153" s="3">
        <v>239387</v>
      </c>
      <c r="G153" s="4">
        <v>88.799570508276801</v>
      </c>
      <c r="H153" s="5">
        <v>8.8233333333333341</v>
      </c>
      <c r="I153">
        <v>13.46</v>
      </c>
      <c r="J153" s="2">
        <v>5173.643</v>
      </c>
      <c r="K153" s="6">
        <v>2.1623581724130601</v>
      </c>
      <c r="L153">
        <v>7.0333333333333341</v>
      </c>
      <c r="M153">
        <v>0.92500000000000004</v>
      </c>
      <c r="N153">
        <f t="shared" si="2"/>
        <v>145.40603818191576</v>
      </c>
      <c r="O153" s="5">
        <v>8.1033333333333335</v>
      </c>
      <c r="P153">
        <v>34.799999999999997</v>
      </c>
      <c r="Q153">
        <v>108023</v>
      </c>
      <c r="R153">
        <v>178941</v>
      </c>
      <c r="T153" s="1"/>
    </row>
    <row r="154" spans="1:20" x14ac:dyDescent="0.2">
      <c r="A154" t="s">
        <v>155</v>
      </c>
      <c r="B154" s="2">
        <v>8148.6030000000001</v>
      </c>
      <c r="C154" s="2">
        <v>54.104999999999997</v>
      </c>
      <c r="D154" s="1">
        <v>60.466666666666669</v>
      </c>
      <c r="E154" s="2">
        <v>1175.105</v>
      </c>
      <c r="F154" s="3">
        <v>239861</v>
      </c>
      <c r="G154" s="4">
        <v>88.6323243818603</v>
      </c>
      <c r="H154" s="5">
        <v>8.8733333333333331</v>
      </c>
      <c r="I154">
        <v>8.06</v>
      </c>
      <c r="J154" s="2">
        <v>5218.8509999999997</v>
      </c>
      <c r="K154" s="6">
        <v>2.1461645015740598</v>
      </c>
      <c r="L154">
        <v>7.0333333333333341</v>
      </c>
      <c r="M154">
        <v>1.05</v>
      </c>
      <c r="N154">
        <f t="shared" si="2"/>
        <v>145.78772903214332</v>
      </c>
      <c r="O154" s="5">
        <v>7.8266666666666671</v>
      </c>
      <c r="P154">
        <v>34.799999999999997</v>
      </c>
      <c r="Q154">
        <v>108735</v>
      </c>
      <c r="R154">
        <v>179825</v>
      </c>
      <c r="T154" s="1"/>
    </row>
    <row r="155" spans="1:20" x14ac:dyDescent="0.2">
      <c r="A155" t="s">
        <v>156</v>
      </c>
      <c r="B155" s="2">
        <v>8185.3029999999999</v>
      </c>
      <c r="C155" s="2">
        <v>54.048999999999999</v>
      </c>
      <c r="D155" s="1">
        <v>60.56666666666667</v>
      </c>
      <c r="E155" s="2">
        <v>1154.5889999999999</v>
      </c>
      <c r="F155" s="3">
        <v>240368</v>
      </c>
      <c r="G155" s="4">
        <v>88.412735708547601</v>
      </c>
      <c r="H155" s="5">
        <v>8.9</v>
      </c>
      <c r="I155">
        <v>7.72</v>
      </c>
      <c r="J155" s="2">
        <v>5275.72</v>
      </c>
      <c r="K155" s="6">
        <v>2.15897924631021</v>
      </c>
      <c r="L155">
        <v>7.166666666666667</v>
      </c>
      <c r="M155">
        <v>0.52500000000000002</v>
      </c>
      <c r="N155">
        <f t="shared" si="2"/>
        <v>145.97907542649801</v>
      </c>
      <c r="O155" s="5">
        <v>6.92</v>
      </c>
      <c r="P155">
        <v>34.6</v>
      </c>
      <c r="Q155">
        <v>109206</v>
      </c>
      <c r="R155">
        <v>180321</v>
      </c>
      <c r="T155" s="1"/>
    </row>
    <row r="156" spans="1:20" x14ac:dyDescent="0.2">
      <c r="A156" t="s">
        <v>157</v>
      </c>
      <c r="B156" s="2">
        <v>8263.6389999999992</v>
      </c>
      <c r="C156" s="2">
        <v>54.334000000000003</v>
      </c>
      <c r="D156" s="1">
        <v>60.8</v>
      </c>
      <c r="E156" s="2">
        <v>1123.5319999999999</v>
      </c>
      <c r="F156" s="3">
        <v>240962</v>
      </c>
      <c r="G156" s="4">
        <v>88.534631814893999</v>
      </c>
      <c r="H156" s="5">
        <v>8.93</v>
      </c>
      <c r="I156">
        <v>6.9</v>
      </c>
      <c r="J156" s="2">
        <v>5369.049</v>
      </c>
      <c r="K156" s="6">
        <v>2.1616677878893902</v>
      </c>
      <c r="L156">
        <v>6.9666666666666659</v>
      </c>
      <c r="M156">
        <v>0.95</v>
      </c>
      <c r="N156">
        <f t="shared" si="2"/>
        <v>146.32577573063594</v>
      </c>
      <c r="O156" s="5">
        <v>6.206666666666667</v>
      </c>
      <c r="P156">
        <v>34.6</v>
      </c>
      <c r="Q156">
        <v>109970</v>
      </c>
      <c r="R156">
        <v>180836</v>
      </c>
      <c r="T156" s="1"/>
    </row>
    <row r="157" spans="1:20" x14ac:dyDescent="0.2">
      <c r="A157" t="s">
        <v>158</v>
      </c>
      <c r="B157" s="2">
        <v>8308.0210000000006</v>
      </c>
      <c r="C157" s="2">
        <v>54.661999999999999</v>
      </c>
      <c r="D157" s="1">
        <v>60.93333333333333</v>
      </c>
      <c r="E157" s="2">
        <v>1126.895</v>
      </c>
      <c r="F157" s="3">
        <v>241539</v>
      </c>
      <c r="G157" s="4">
        <v>88.490200239803798</v>
      </c>
      <c r="H157" s="5">
        <v>8.9933333333333341</v>
      </c>
      <c r="I157">
        <v>14.35</v>
      </c>
      <c r="J157" s="2">
        <v>5401.98</v>
      </c>
      <c r="K157" s="6">
        <v>2.1572877504699401</v>
      </c>
      <c r="L157">
        <v>6.833333333333333</v>
      </c>
      <c r="M157">
        <v>0.55000000000000004</v>
      </c>
      <c r="N157">
        <f t="shared" si="2"/>
        <v>146.52697367226554</v>
      </c>
      <c r="O157" s="5">
        <v>6.2666666666666666</v>
      </c>
      <c r="P157">
        <v>34.6</v>
      </c>
      <c r="Q157">
        <v>110492</v>
      </c>
      <c r="R157">
        <v>181365</v>
      </c>
      <c r="T157" s="1"/>
    </row>
    <row r="158" spans="1:20" x14ac:dyDescent="0.2">
      <c r="A158" t="s">
        <v>159</v>
      </c>
      <c r="B158" s="2">
        <v>8369.93</v>
      </c>
      <c r="C158" s="2">
        <v>55.174999999999997</v>
      </c>
      <c r="D158" s="1">
        <v>61.1</v>
      </c>
      <c r="E158" s="2">
        <v>1157.306</v>
      </c>
      <c r="F158" s="3">
        <v>242009</v>
      </c>
      <c r="G158" s="4">
        <v>88.776382610943003</v>
      </c>
      <c r="H158" s="5">
        <v>9.0466666666666669</v>
      </c>
      <c r="I158">
        <v>6.23</v>
      </c>
      <c r="J158" s="2">
        <v>5407.3720000000003</v>
      </c>
      <c r="K158" s="6">
        <v>2.14426333289278</v>
      </c>
      <c r="L158">
        <v>6.5999999999999988</v>
      </c>
      <c r="M158">
        <v>0.8</v>
      </c>
      <c r="N158">
        <f t="shared" si="2"/>
        <v>146.82002761961007</v>
      </c>
      <c r="O158" s="5">
        <v>6.22</v>
      </c>
      <c r="P158">
        <v>34.799999999999997</v>
      </c>
      <c r="Q158">
        <v>111206</v>
      </c>
      <c r="R158">
        <v>182001</v>
      </c>
      <c r="T158" s="1"/>
    </row>
    <row r="159" spans="1:20" x14ac:dyDescent="0.2">
      <c r="A159" t="s">
        <v>160</v>
      </c>
      <c r="B159" s="2">
        <v>8460.2330000000002</v>
      </c>
      <c r="C159" s="2">
        <v>55.706000000000003</v>
      </c>
      <c r="D159" s="1">
        <v>61.43333333333333</v>
      </c>
      <c r="E159" s="2">
        <v>1157.9090000000001</v>
      </c>
      <c r="F159" s="3">
        <v>242520</v>
      </c>
      <c r="G159" s="4">
        <v>88.912459618671207</v>
      </c>
      <c r="H159" s="5">
        <v>9.1</v>
      </c>
      <c r="I159">
        <v>6.56</v>
      </c>
      <c r="J159" s="2">
        <v>5481.1660000000002</v>
      </c>
      <c r="K159" s="6">
        <v>2.1283095096900699</v>
      </c>
      <c r="L159">
        <v>6.2666666666666666</v>
      </c>
      <c r="M159">
        <v>1.2749999999999999</v>
      </c>
      <c r="N159">
        <f t="shared" si="2"/>
        <v>147.28801645764756</v>
      </c>
      <c r="O159" s="5">
        <v>6.65</v>
      </c>
      <c r="P159">
        <v>34.700000000000003</v>
      </c>
      <c r="Q159">
        <v>112158</v>
      </c>
      <c r="R159">
        <v>182527</v>
      </c>
      <c r="T159" s="1"/>
    </row>
    <row r="160" spans="1:20" x14ac:dyDescent="0.2">
      <c r="A160" t="s">
        <v>161</v>
      </c>
      <c r="B160" s="2">
        <v>8533.6350000000002</v>
      </c>
      <c r="C160" s="2">
        <v>56.231999999999999</v>
      </c>
      <c r="D160" s="1">
        <v>61.666666666666664</v>
      </c>
      <c r="E160" s="2">
        <v>1158.077</v>
      </c>
      <c r="F160" s="3">
        <v>243120</v>
      </c>
      <c r="G160" s="4">
        <v>89.105939994889894</v>
      </c>
      <c r="H160" s="5">
        <v>9.163333333333334</v>
      </c>
      <c r="I160">
        <v>8.3800000000000008</v>
      </c>
      <c r="J160" s="2">
        <v>5543.723</v>
      </c>
      <c r="K160" s="6">
        <v>2.11341319966319</v>
      </c>
      <c r="L160">
        <v>6</v>
      </c>
      <c r="M160">
        <v>0.72499999999999998</v>
      </c>
      <c r="N160">
        <f t="shared" si="2"/>
        <v>147.55497598747704</v>
      </c>
      <c r="O160" s="5">
        <v>6.8433333333333337</v>
      </c>
      <c r="P160">
        <v>34.700000000000003</v>
      </c>
      <c r="Q160">
        <v>112867</v>
      </c>
      <c r="R160">
        <v>183016</v>
      </c>
      <c r="T160" s="1"/>
    </row>
    <row r="161" spans="1:20" x14ac:dyDescent="0.2">
      <c r="A161" t="s">
        <v>162</v>
      </c>
      <c r="B161" s="2">
        <v>8680.1620000000003</v>
      </c>
      <c r="C161" s="2">
        <v>56.718000000000004</v>
      </c>
      <c r="D161" s="1">
        <v>61.9</v>
      </c>
      <c r="E161" s="2">
        <v>1236.9860000000001</v>
      </c>
      <c r="F161" s="3">
        <v>243721</v>
      </c>
      <c r="G161" s="4">
        <v>89.217635313165502</v>
      </c>
      <c r="H161" s="5">
        <v>9.2566666666666659</v>
      </c>
      <c r="I161">
        <v>6.89</v>
      </c>
      <c r="J161" s="2">
        <v>5555.451</v>
      </c>
      <c r="K161" s="6">
        <v>2.1066563650662098</v>
      </c>
      <c r="L161">
        <v>5.833333333333333</v>
      </c>
      <c r="M161">
        <v>2.1</v>
      </c>
      <c r="N161">
        <f t="shared" si="2"/>
        <v>148.3296396114113</v>
      </c>
      <c r="O161" s="5">
        <v>6.916666666666667</v>
      </c>
      <c r="P161">
        <v>34.700000000000003</v>
      </c>
      <c r="Q161">
        <v>113527</v>
      </c>
      <c r="R161">
        <v>183467</v>
      </c>
      <c r="T161" s="1"/>
    </row>
    <row r="162" spans="1:20" x14ac:dyDescent="0.2">
      <c r="A162" t="s">
        <v>163</v>
      </c>
      <c r="B162" s="2">
        <v>8725.0059999999994</v>
      </c>
      <c r="C162" s="2">
        <v>57.164999999999999</v>
      </c>
      <c r="D162" s="1">
        <v>62</v>
      </c>
      <c r="E162" s="2">
        <v>1177.604</v>
      </c>
      <c r="F162" s="3">
        <v>244208</v>
      </c>
      <c r="G162" s="4">
        <v>89.348418892372294</v>
      </c>
      <c r="H162" s="5">
        <v>9.2966666666666669</v>
      </c>
      <c r="I162">
        <v>6.83</v>
      </c>
      <c r="J162" s="2">
        <v>5653.5879999999997</v>
      </c>
      <c r="K162" s="6">
        <v>2.0947687017473799</v>
      </c>
      <c r="L162">
        <v>5.7</v>
      </c>
      <c r="M162">
        <v>0.45</v>
      </c>
      <c r="N162">
        <f t="shared" si="2"/>
        <v>148.49651045597415</v>
      </c>
      <c r="O162" s="5">
        <v>6.6633333333333331</v>
      </c>
      <c r="P162">
        <v>34.6</v>
      </c>
      <c r="Q162">
        <v>114093</v>
      </c>
      <c r="R162">
        <v>183967</v>
      </c>
      <c r="T162" s="1"/>
    </row>
    <row r="163" spans="1:20" x14ac:dyDescent="0.2">
      <c r="A163" t="s">
        <v>164</v>
      </c>
      <c r="B163" s="2">
        <v>8839.6409999999996</v>
      </c>
      <c r="C163" s="2">
        <v>57.796999999999997</v>
      </c>
      <c r="D163" s="1">
        <v>62.166666666666664</v>
      </c>
      <c r="E163" s="2">
        <v>1205.662</v>
      </c>
      <c r="F163" s="3">
        <v>244716</v>
      </c>
      <c r="G163" s="4">
        <v>89.558197624142394</v>
      </c>
      <c r="H163" s="5">
        <v>9.3933333333333326</v>
      </c>
      <c r="I163">
        <v>8.27</v>
      </c>
      <c r="J163" s="2">
        <v>5695.326</v>
      </c>
      <c r="K163" s="6">
        <v>2.0798770506775002</v>
      </c>
      <c r="L163">
        <v>5.4666666666666659</v>
      </c>
      <c r="M163">
        <v>1.7250000000000001</v>
      </c>
      <c r="N163">
        <f t="shared" si="2"/>
        <v>149.13690165731552</v>
      </c>
      <c r="O163" s="5">
        <v>7.1566666666666663</v>
      </c>
      <c r="P163">
        <v>34.6</v>
      </c>
      <c r="Q163">
        <v>114623</v>
      </c>
      <c r="R163">
        <v>184389</v>
      </c>
      <c r="T163" s="1"/>
    </row>
    <row r="164" spans="1:20" x14ac:dyDescent="0.2">
      <c r="A164" t="s">
        <v>165</v>
      </c>
      <c r="B164" s="2">
        <v>8891.4349999999995</v>
      </c>
      <c r="C164" s="2">
        <v>58.509</v>
      </c>
      <c r="D164" s="1">
        <v>62.366666666666667</v>
      </c>
      <c r="E164" s="2">
        <v>1212.3599999999999</v>
      </c>
      <c r="F164" s="3">
        <v>245354</v>
      </c>
      <c r="G164" s="4">
        <v>89.563806401157095</v>
      </c>
      <c r="H164" s="5">
        <v>9.4733333333333327</v>
      </c>
      <c r="I164">
        <v>8.5399999999999991</v>
      </c>
      <c r="J164" s="2">
        <v>5745.933</v>
      </c>
      <c r="K164" s="6">
        <v>2.0619274399693199</v>
      </c>
      <c r="L164">
        <v>5.4666666666666659</v>
      </c>
      <c r="M164">
        <v>0.52500000000000002</v>
      </c>
      <c r="N164">
        <f t="shared" si="2"/>
        <v>149.33264384074076</v>
      </c>
      <c r="O164" s="5">
        <v>7.9833333333333334</v>
      </c>
      <c r="P164">
        <v>34.5</v>
      </c>
      <c r="Q164">
        <v>115233</v>
      </c>
      <c r="R164">
        <v>184840</v>
      </c>
      <c r="T164" s="1"/>
    </row>
    <row r="165" spans="1:20" x14ac:dyDescent="0.2">
      <c r="A165" t="s">
        <v>166</v>
      </c>
      <c r="B165" s="2">
        <v>9009.9130000000005</v>
      </c>
      <c r="C165" s="2">
        <v>59.100999999999999</v>
      </c>
      <c r="D165" s="1">
        <v>62.6</v>
      </c>
      <c r="E165" s="2">
        <v>1230.8610000000001</v>
      </c>
      <c r="F165" s="3">
        <v>245966</v>
      </c>
      <c r="G165" s="4">
        <v>89.480436130676395</v>
      </c>
      <c r="H165" s="5">
        <v>9.58</v>
      </c>
      <c r="I165">
        <v>9.0399999999999991</v>
      </c>
      <c r="J165" s="2">
        <v>5811.2640000000001</v>
      </c>
      <c r="K165" s="6">
        <v>2.05557580103507</v>
      </c>
      <c r="L165">
        <v>5.333333333333333</v>
      </c>
      <c r="M165">
        <v>1.4</v>
      </c>
      <c r="N165">
        <f t="shared" si="2"/>
        <v>149.85530809418336</v>
      </c>
      <c r="O165" s="5">
        <v>8.4700000000000006</v>
      </c>
      <c r="P165">
        <v>34.6</v>
      </c>
      <c r="Q165">
        <v>115947</v>
      </c>
      <c r="R165">
        <v>185253</v>
      </c>
      <c r="T165" s="1"/>
    </row>
    <row r="166" spans="1:20" x14ac:dyDescent="0.2">
      <c r="A166" t="s">
        <v>167</v>
      </c>
      <c r="B166" s="2">
        <v>9101.5079999999998</v>
      </c>
      <c r="C166" s="2">
        <v>59.780999999999999</v>
      </c>
      <c r="D166" s="1">
        <v>62.9</v>
      </c>
      <c r="E166" s="2">
        <v>1272.6379999999999</v>
      </c>
      <c r="F166" s="3">
        <v>246460</v>
      </c>
      <c r="G166" s="4">
        <v>89.720722525309498</v>
      </c>
      <c r="H166" s="5">
        <v>9.6766666666666659</v>
      </c>
      <c r="I166">
        <v>9.7899999999999991</v>
      </c>
      <c r="J166" s="2">
        <v>5838.2250000000004</v>
      </c>
      <c r="K166" s="6">
        <v>2.0384636814124701</v>
      </c>
      <c r="L166">
        <v>5.2</v>
      </c>
      <c r="M166">
        <v>1.075</v>
      </c>
      <c r="N166">
        <f t="shared" si="2"/>
        <v>150.25804423468648</v>
      </c>
      <c r="O166" s="5">
        <v>9.4433333333333334</v>
      </c>
      <c r="P166">
        <v>34.6</v>
      </c>
      <c r="Q166">
        <v>116835</v>
      </c>
      <c r="R166">
        <v>185773</v>
      </c>
      <c r="T166" s="1"/>
    </row>
    <row r="167" spans="1:20" x14ac:dyDescent="0.2">
      <c r="A167" t="s">
        <v>168</v>
      </c>
      <c r="B167" s="2">
        <v>9170.9770000000008</v>
      </c>
      <c r="C167" s="2">
        <v>60.588000000000001</v>
      </c>
      <c r="D167" s="1">
        <v>62.93333333333333</v>
      </c>
      <c r="E167" s="2">
        <v>1260.328</v>
      </c>
      <c r="F167" s="3">
        <v>247017</v>
      </c>
      <c r="G167" s="4">
        <v>89.9033824828348</v>
      </c>
      <c r="H167" s="5">
        <v>9.7533333333333339</v>
      </c>
      <c r="I167">
        <v>9.6300000000000008</v>
      </c>
      <c r="J167" s="2">
        <v>5865.4769999999999</v>
      </c>
      <c r="K167" s="6">
        <v>2.0135577521736998</v>
      </c>
      <c r="L167">
        <v>5.2333333333333334</v>
      </c>
      <c r="M167">
        <v>0.7</v>
      </c>
      <c r="N167">
        <f t="shared" si="2"/>
        <v>150.52099581209717</v>
      </c>
      <c r="O167" s="5">
        <v>9.7266666666666666</v>
      </c>
      <c r="P167">
        <v>34.5</v>
      </c>
      <c r="Q167">
        <v>117205</v>
      </c>
      <c r="R167">
        <v>186178</v>
      </c>
      <c r="T167" s="1"/>
    </row>
    <row r="168" spans="1:20" x14ac:dyDescent="0.2">
      <c r="A168" t="s">
        <v>169</v>
      </c>
      <c r="B168" s="2">
        <v>9238.9230000000007</v>
      </c>
      <c r="C168" s="2">
        <v>60.945999999999998</v>
      </c>
      <c r="D168" s="1">
        <v>62.966666666666669</v>
      </c>
      <c r="E168" s="2">
        <v>1249.0119999999999</v>
      </c>
      <c r="F168" s="3">
        <v>247698</v>
      </c>
      <c r="G168" s="4">
        <v>89.986183763188905</v>
      </c>
      <c r="H168" s="5">
        <v>9.8433333333333337</v>
      </c>
      <c r="I168">
        <v>9.24</v>
      </c>
      <c r="J168" s="2">
        <v>5922.2610000000004</v>
      </c>
      <c r="K168" s="6">
        <v>2.0056268987996102</v>
      </c>
      <c r="L168">
        <v>5.2333333333333334</v>
      </c>
      <c r="M168">
        <v>0.72499999999999998</v>
      </c>
      <c r="N168">
        <f t="shared" si="2"/>
        <v>150.7938151170066</v>
      </c>
      <c r="O168" s="5">
        <v>9.0833333333333339</v>
      </c>
      <c r="P168">
        <v>34.5</v>
      </c>
      <c r="Q168">
        <v>117494</v>
      </c>
      <c r="R168">
        <v>186602</v>
      </c>
      <c r="T168" s="1"/>
    </row>
    <row r="169" spans="1:20" x14ac:dyDescent="0.2">
      <c r="A169" t="s">
        <v>170</v>
      </c>
      <c r="B169" s="2">
        <v>9257.1280000000006</v>
      </c>
      <c r="C169" s="2">
        <v>61.427</v>
      </c>
      <c r="D169" s="1">
        <v>62.966666666666669</v>
      </c>
      <c r="E169" s="2">
        <v>1239.7470000000001</v>
      </c>
      <c r="F169" s="3">
        <v>248374</v>
      </c>
      <c r="G169" s="4">
        <v>89.925301674229004</v>
      </c>
      <c r="H169" s="5">
        <v>9.9433333333333334</v>
      </c>
      <c r="I169">
        <v>7.97</v>
      </c>
      <c r="J169" s="2">
        <v>5948</v>
      </c>
      <c r="K169" s="6">
        <v>1.99468869444637</v>
      </c>
      <c r="L169">
        <v>5.3666666666666671</v>
      </c>
      <c r="M169">
        <v>2.5000000000000001E-2</v>
      </c>
      <c r="N169">
        <f t="shared" si="2"/>
        <v>150.80323973045142</v>
      </c>
      <c r="O169" s="5">
        <v>8.6133333333333333</v>
      </c>
      <c r="P169">
        <v>34.4</v>
      </c>
      <c r="Q169">
        <v>117774</v>
      </c>
      <c r="R169">
        <v>187018</v>
      </c>
      <c r="T169" s="1"/>
    </row>
    <row r="170" spans="1:20" x14ac:dyDescent="0.2">
      <c r="A170" t="s">
        <v>171</v>
      </c>
      <c r="B170" s="2">
        <v>9358.2890000000007</v>
      </c>
      <c r="C170" s="2">
        <v>62.319000000000003</v>
      </c>
      <c r="D170" s="1">
        <v>63.2</v>
      </c>
      <c r="E170" s="2">
        <v>1252.058</v>
      </c>
      <c r="F170" s="3">
        <v>248936</v>
      </c>
      <c r="G170" s="4">
        <v>89.631642572928101</v>
      </c>
      <c r="H170" s="5">
        <v>10.066666666666666</v>
      </c>
      <c r="I170">
        <v>7.9509563482730972</v>
      </c>
      <c r="J170" s="2">
        <v>5998.058</v>
      </c>
      <c r="K170" s="6">
        <v>1.9712787684192701</v>
      </c>
      <c r="L170">
        <v>5.3</v>
      </c>
      <c r="M170">
        <v>1.25</v>
      </c>
      <c r="N170">
        <f t="shared" si="2"/>
        <v>151.2744998546091</v>
      </c>
      <c r="O170" s="5">
        <v>8.25</v>
      </c>
      <c r="P170">
        <v>34.4</v>
      </c>
      <c r="Q170">
        <v>119114</v>
      </c>
      <c r="R170">
        <v>188520</v>
      </c>
      <c r="T170" s="1"/>
    </row>
    <row r="171" spans="1:20" x14ac:dyDescent="0.2">
      <c r="A171" t="s">
        <v>172</v>
      </c>
      <c r="B171" s="2">
        <v>9392.2510000000002</v>
      </c>
      <c r="C171" s="2">
        <v>62.886000000000003</v>
      </c>
      <c r="D171" s="1">
        <v>63</v>
      </c>
      <c r="E171" s="2">
        <v>1252.4490000000001</v>
      </c>
      <c r="F171" s="3">
        <v>249711</v>
      </c>
      <c r="G171" s="4">
        <v>89.368766444804095</v>
      </c>
      <c r="H171" s="5">
        <v>10.16</v>
      </c>
      <c r="I171">
        <v>7.6685093641548647</v>
      </c>
      <c r="J171" s="2">
        <v>6016.3289999999997</v>
      </c>
      <c r="K171" s="6">
        <v>1.9527476594914199</v>
      </c>
      <c r="L171">
        <v>5.333333333333333</v>
      </c>
      <c r="M171">
        <v>0.25</v>
      </c>
      <c r="N171">
        <f t="shared" si="2"/>
        <v>151.36904641701824</v>
      </c>
      <c r="O171" s="5">
        <v>8.2433333333333341</v>
      </c>
      <c r="P171">
        <v>34.299999999999997</v>
      </c>
      <c r="Q171">
        <v>118995</v>
      </c>
      <c r="R171">
        <v>188916</v>
      </c>
      <c r="T171" s="1"/>
    </row>
    <row r="172" spans="1:20" x14ac:dyDescent="0.2">
      <c r="A172" t="s">
        <v>173</v>
      </c>
      <c r="B172" s="2">
        <v>9398.4989999999998</v>
      </c>
      <c r="C172" s="2">
        <v>63.685000000000002</v>
      </c>
      <c r="D172" s="1">
        <v>62.666666666666664</v>
      </c>
      <c r="E172" s="2">
        <v>1228.17</v>
      </c>
      <c r="F172" s="3">
        <v>250595</v>
      </c>
      <c r="G172" s="4">
        <v>88.935572023221596</v>
      </c>
      <c r="H172" s="5">
        <v>10.246666666666666</v>
      </c>
      <c r="I172">
        <v>7.5104517317088151</v>
      </c>
      <c r="J172" s="2">
        <v>6040.1629999999996</v>
      </c>
      <c r="K172" s="6">
        <v>1.92980465666783</v>
      </c>
      <c r="L172">
        <v>5.7</v>
      </c>
      <c r="M172">
        <v>-0.2</v>
      </c>
      <c r="N172">
        <f t="shared" si="2"/>
        <v>151.29336189380973</v>
      </c>
      <c r="O172" s="5">
        <v>8.16</v>
      </c>
      <c r="P172">
        <v>34.200000000000003</v>
      </c>
      <c r="Q172">
        <v>118712</v>
      </c>
      <c r="R172">
        <v>189353</v>
      </c>
      <c r="T172" s="1"/>
    </row>
    <row r="173" spans="1:20" x14ac:dyDescent="0.2">
      <c r="A173" t="s">
        <v>174</v>
      </c>
      <c r="B173" s="2">
        <v>9312.9369999999999</v>
      </c>
      <c r="C173" s="2">
        <v>64.527000000000001</v>
      </c>
      <c r="D173" s="1">
        <v>62.333333333333336</v>
      </c>
      <c r="E173" s="2">
        <v>1159.4639999999999</v>
      </c>
      <c r="F173" s="3">
        <v>251482</v>
      </c>
      <c r="G173" s="4">
        <v>88.482898975414599</v>
      </c>
      <c r="H173" s="5">
        <v>10.32</v>
      </c>
      <c r="I173">
        <v>6.7576338713868997</v>
      </c>
      <c r="J173" s="2">
        <v>5994.2120000000004</v>
      </c>
      <c r="K173" s="6">
        <v>1.9067607859847799</v>
      </c>
      <c r="L173">
        <v>6.1333333333333337</v>
      </c>
      <c r="M173">
        <v>-1.425</v>
      </c>
      <c r="N173">
        <f t="shared" si="2"/>
        <v>150.75437929206302</v>
      </c>
      <c r="O173" s="5">
        <v>7.7433333333333332</v>
      </c>
      <c r="P173">
        <v>34.200000000000003</v>
      </c>
      <c r="Q173">
        <v>118361</v>
      </c>
      <c r="R173">
        <v>189866</v>
      </c>
      <c r="T173" s="1"/>
    </row>
    <row r="174" spans="1:20" x14ac:dyDescent="0.2">
      <c r="A174" t="s">
        <v>175</v>
      </c>
      <c r="B174" s="2">
        <v>9269.3670000000002</v>
      </c>
      <c r="C174" s="2">
        <v>64.866</v>
      </c>
      <c r="D174" s="1">
        <v>61.9</v>
      </c>
      <c r="E174" s="2">
        <v>1120.884</v>
      </c>
      <c r="F174" s="3">
        <v>252258</v>
      </c>
      <c r="G174" s="4">
        <v>87.909556422864995</v>
      </c>
      <c r="H174" s="5">
        <v>10.393333333333333</v>
      </c>
      <c r="I174">
        <v>5.7594285783475261</v>
      </c>
      <c r="J174" s="2">
        <v>5971.6719999999996</v>
      </c>
      <c r="K174" s="6">
        <v>1.91090746765576</v>
      </c>
      <c r="L174">
        <v>6.6000000000000005</v>
      </c>
      <c r="M174">
        <v>-0.67500000000000004</v>
      </c>
      <c r="N174">
        <f t="shared" si="2"/>
        <v>150.49998127700766</v>
      </c>
      <c r="O174" s="5">
        <v>6.4266666666666667</v>
      </c>
      <c r="P174">
        <v>34.1</v>
      </c>
      <c r="Q174">
        <v>117782</v>
      </c>
      <c r="R174">
        <v>190272</v>
      </c>
      <c r="T174" s="1"/>
    </row>
    <row r="175" spans="1:20" x14ac:dyDescent="0.2">
      <c r="A175" t="s">
        <v>176</v>
      </c>
      <c r="B175" s="2">
        <v>9341.6419999999998</v>
      </c>
      <c r="C175" s="2">
        <v>65.218999999999994</v>
      </c>
      <c r="D175" s="1">
        <v>61.766666666666666</v>
      </c>
      <c r="E175" s="2">
        <v>1120.8800000000001</v>
      </c>
      <c r="F175" s="3">
        <v>253063</v>
      </c>
      <c r="G175" s="4">
        <v>87.629920196163098</v>
      </c>
      <c r="H175" s="5">
        <v>10.486666666666666</v>
      </c>
      <c r="I175">
        <v>5.5292042342331342</v>
      </c>
      <c r="J175" s="2">
        <v>6021.1629999999996</v>
      </c>
      <c r="K175" s="6">
        <v>1.9005638106823901</v>
      </c>
      <c r="L175">
        <v>6.833333333333333</v>
      </c>
      <c r="M175">
        <v>1</v>
      </c>
      <c r="N175">
        <f t="shared" si="2"/>
        <v>150.87623123020018</v>
      </c>
      <c r="O175" s="5">
        <v>5.8633333333333333</v>
      </c>
      <c r="P175">
        <v>34.1</v>
      </c>
      <c r="Q175">
        <v>117729</v>
      </c>
      <c r="R175">
        <v>190656</v>
      </c>
      <c r="T175" s="1"/>
    </row>
    <row r="176" spans="1:20" x14ac:dyDescent="0.2">
      <c r="A176" t="s">
        <v>177</v>
      </c>
      <c r="B176" s="2">
        <v>9388.8449999999993</v>
      </c>
      <c r="C176" s="2">
        <v>65.661000000000001</v>
      </c>
      <c r="D176" s="1">
        <v>61.56666666666667</v>
      </c>
      <c r="E176" s="2">
        <v>1143.0730000000001</v>
      </c>
      <c r="F176" s="3">
        <v>253965</v>
      </c>
      <c r="G176" s="4">
        <v>87.426640951758898</v>
      </c>
      <c r="H176" s="5">
        <v>10.56</v>
      </c>
      <c r="I176">
        <v>5.0170615002837193</v>
      </c>
      <c r="J176" s="2">
        <v>6051.1840000000002</v>
      </c>
      <c r="K176" s="6">
        <v>1.8870657217906901</v>
      </c>
      <c r="L176">
        <v>6.8666666666666671</v>
      </c>
      <c r="M176">
        <v>0.75</v>
      </c>
      <c r="N176">
        <f t="shared" si="2"/>
        <v>151.15912416375681</v>
      </c>
      <c r="O176" s="5">
        <v>5.6433333333333335</v>
      </c>
      <c r="P176">
        <v>34.1</v>
      </c>
      <c r="Q176">
        <v>117660</v>
      </c>
      <c r="R176">
        <v>191121</v>
      </c>
      <c r="T176" s="1"/>
    </row>
    <row r="177" spans="1:20" x14ac:dyDescent="0.2">
      <c r="A177" t="s">
        <v>178</v>
      </c>
      <c r="B177" s="2">
        <v>9421.5650000000005</v>
      </c>
      <c r="C177" s="2">
        <v>66.135999999999996</v>
      </c>
      <c r="D177" s="1">
        <v>61.366666666666667</v>
      </c>
      <c r="E177" s="2">
        <v>1183.605</v>
      </c>
      <c r="F177" s="3">
        <v>254835</v>
      </c>
      <c r="G177" s="4">
        <v>87.085779065746493</v>
      </c>
      <c r="H177" s="5">
        <v>10.613333333333333</v>
      </c>
      <c r="I177">
        <v>3.7480374817644413</v>
      </c>
      <c r="J177" s="2">
        <v>6048.1559999999999</v>
      </c>
      <c r="K177" s="6">
        <v>1.8656503079978499</v>
      </c>
      <c r="L177">
        <v>7.1000000000000005</v>
      </c>
      <c r="M177">
        <v>0.3</v>
      </c>
      <c r="N177">
        <f t="shared" si="2"/>
        <v>151.27249350687964</v>
      </c>
      <c r="O177" s="5">
        <v>4.8166666666666664</v>
      </c>
      <c r="P177">
        <v>34.1</v>
      </c>
      <c r="Q177">
        <v>117679</v>
      </c>
      <c r="R177">
        <v>191651</v>
      </c>
      <c r="T177" s="1"/>
    </row>
    <row r="178" spans="1:20" x14ac:dyDescent="0.2">
      <c r="A178" t="s">
        <v>179</v>
      </c>
      <c r="B178" s="2">
        <v>9534.3459999999995</v>
      </c>
      <c r="C178" s="2">
        <v>66.55</v>
      </c>
      <c r="D178" s="1">
        <v>61.43333333333333</v>
      </c>
      <c r="E178" s="2">
        <v>1161.74</v>
      </c>
      <c r="F178" s="3">
        <v>255585</v>
      </c>
      <c r="G178" s="4">
        <v>86.873352052074395</v>
      </c>
      <c r="H178" s="5">
        <v>10.666666666666666</v>
      </c>
      <c r="I178">
        <v>3.5292919618618264</v>
      </c>
      <c r="J178" s="2">
        <v>6161.3980000000001</v>
      </c>
      <c r="K178" s="6">
        <v>1.8463677107632901</v>
      </c>
      <c r="L178">
        <v>7.3666666666666671</v>
      </c>
      <c r="M178">
        <v>1.4</v>
      </c>
      <c r="N178">
        <f t="shared" si="2"/>
        <v>151.80194723415372</v>
      </c>
      <c r="O178" s="5">
        <v>4.0233333333333334</v>
      </c>
      <c r="P178">
        <v>34.1</v>
      </c>
      <c r="Q178">
        <v>117958</v>
      </c>
      <c r="R178">
        <v>192075</v>
      </c>
      <c r="T178" s="1"/>
    </row>
    <row r="179" spans="1:20" x14ac:dyDescent="0.2">
      <c r="A179" t="s">
        <v>180</v>
      </c>
      <c r="B179" s="2">
        <v>9637.732</v>
      </c>
      <c r="C179" s="2">
        <v>66.992000000000004</v>
      </c>
      <c r="D179" s="1">
        <v>61.533333333333331</v>
      </c>
      <c r="E179" s="2">
        <v>1227.44</v>
      </c>
      <c r="F179" s="3">
        <v>256439</v>
      </c>
      <c r="G179" s="4">
        <v>86.837979093811299</v>
      </c>
      <c r="H179" s="5">
        <v>10.743333333333334</v>
      </c>
      <c r="I179">
        <v>3.4197986036226276</v>
      </c>
      <c r="J179" s="2">
        <v>6203.2240000000002</v>
      </c>
      <c r="K179" s="6">
        <v>1.8335928663487999</v>
      </c>
      <c r="L179">
        <v>7.6000000000000005</v>
      </c>
      <c r="M179">
        <v>1.2749999999999999</v>
      </c>
      <c r="N179">
        <f t="shared" si="2"/>
        <v>152.28581594096258</v>
      </c>
      <c r="O179" s="5">
        <v>3.77</v>
      </c>
      <c r="P179">
        <v>34.299999999999997</v>
      </c>
      <c r="Q179">
        <v>118407</v>
      </c>
      <c r="R179">
        <v>192507</v>
      </c>
      <c r="T179" s="1"/>
    </row>
    <row r="180" spans="1:20" x14ac:dyDescent="0.2">
      <c r="A180" t="s">
        <v>181</v>
      </c>
      <c r="B180" s="2">
        <v>9732.9789999999994</v>
      </c>
      <c r="C180" s="2">
        <v>67.418999999999997</v>
      </c>
      <c r="D180" s="1">
        <v>61.533333333333331</v>
      </c>
      <c r="E180" s="2">
        <v>1237.1969999999999</v>
      </c>
      <c r="F180" s="3">
        <v>257386</v>
      </c>
      <c r="G180" s="4">
        <v>86.804197453300603</v>
      </c>
      <c r="H180" s="5">
        <v>10.806666666666667</v>
      </c>
      <c r="I180">
        <v>2.8495007521506928</v>
      </c>
      <c r="J180" s="2">
        <v>6269.7179999999998</v>
      </c>
      <c r="K180" s="6">
        <v>1.82095041943791</v>
      </c>
      <c r="L180">
        <v>7.6333333333333329</v>
      </c>
      <c r="M180">
        <v>1.075</v>
      </c>
      <c r="N180">
        <f t="shared" si="2"/>
        <v>152.69508407130391</v>
      </c>
      <c r="O180" s="5">
        <v>3.2566666666666668</v>
      </c>
      <c r="P180">
        <v>34.200000000000003</v>
      </c>
      <c r="Q180">
        <v>118753</v>
      </c>
      <c r="R180">
        <v>193024</v>
      </c>
      <c r="T180" s="1"/>
    </row>
    <row r="181" spans="1:20" x14ac:dyDescent="0.2">
      <c r="A181" t="s">
        <v>182</v>
      </c>
      <c r="B181" s="2">
        <v>9834.51</v>
      </c>
      <c r="C181" s="2">
        <v>67.888999999999996</v>
      </c>
      <c r="D181" s="1">
        <v>61.366666666666667</v>
      </c>
      <c r="E181" s="2">
        <v>1274.9449999999999</v>
      </c>
      <c r="F181" s="3">
        <v>258277</v>
      </c>
      <c r="G181" s="4">
        <v>86.630918066510404</v>
      </c>
      <c r="H181" s="5">
        <v>10.87</v>
      </c>
      <c r="I181">
        <v>2.7575771328595318</v>
      </c>
      <c r="J181" s="2">
        <v>6344.4459999999999</v>
      </c>
      <c r="K181" s="6">
        <v>1.8097061818214299</v>
      </c>
      <c r="L181">
        <v>7.3666666666666671</v>
      </c>
      <c r="M181">
        <v>1.2749999999999999</v>
      </c>
      <c r="N181">
        <f t="shared" si="2"/>
        <v>153.18179965178118</v>
      </c>
      <c r="O181" s="5">
        <v>3.0366666666666666</v>
      </c>
      <c r="P181">
        <v>34.200000000000003</v>
      </c>
      <c r="Q181">
        <v>118834</v>
      </c>
      <c r="R181">
        <v>193616</v>
      </c>
      <c r="T181" s="1"/>
    </row>
    <row r="182" spans="1:20" x14ac:dyDescent="0.2">
      <c r="A182" t="s">
        <v>183</v>
      </c>
      <c r="B182" s="2">
        <v>9850.973</v>
      </c>
      <c r="C182" s="2">
        <v>68.293999999999997</v>
      </c>
      <c r="D182" s="1">
        <v>61.43333333333333</v>
      </c>
      <c r="E182" s="2">
        <v>1305.0029999999999</v>
      </c>
      <c r="F182" s="3">
        <v>259039</v>
      </c>
      <c r="G182" s="4">
        <v>86.738721308728898</v>
      </c>
      <c r="H182" s="5">
        <v>10.956666666666667</v>
      </c>
      <c r="I182">
        <v>2.9254777665781946</v>
      </c>
      <c r="J182" s="2">
        <v>6368.7719999999999</v>
      </c>
      <c r="K182" s="6">
        <v>1.79920676371975</v>
      </c>
      <c r="L182">
        <v>7.1333333333333329</v>
      </c>
      <c r="M182">
        <v>2.5000000000000001E-2</v>
      </c>
      <c r="N182">
        <f t="shared" si="2"/>
        <v>153.19137351425942</v>
      </c>
      <c r="O182" s="5">
        <v>3.04</v>
      </c>
      <c r="P182">
        <v>34.200000000000003</v>
      </c>
      <c r="Q182">
        <v>119297</v>
      </c>
      <c r="R182">
        <v>194106</v>
      </c>
      <c r="T182" s="1"/>
    </row>
    <row r="183" spans="1:20" x14ac:dyDescent="0.2">
      <c r="A183" t="s">
        <v>184</v>
      </c>
      <c r="B183" s="2">
        <v>9908.3469999999998</v>
      </c>
      <c r="C183" s="2">
        <v>68.753</v>
      </c>
      <c r="D183" s="1">
        <v>61.666666666666664</v>
      </c>
      <c r="E183" s="2">
        <v>1312.511</v>
      </c>
      <c r="F183" s="3">
        <v>259826</v>
      </c>
      <c r="G183" s="4">
        <v>86.956323289173199</v>
      </c>
      <c r="H183" s="5">
        <v>11.01</v>
      </c>
      <c r="I183">
        <v>3.1366293266336331</v>
      </c>
      <c r="J183" s="2">
        <v>6426.7030000000004</v>
      </c>
      <c r="K183" s="6">
        <v>1.79206198696312</v>
      </c>
      <c r="L183">
        <v>7.0666666666666664</v>
      </c>
      <c r="M183">
        <v>0.55000000000000004</v>
      </c>
      <c r="N183">
        <f t="shared" si="2"/>
        <v>153.40201165284151</v>
      </c>
      <c r="O183" s="5">
        <v>3</v>
      </c>
      <c r="P183">
        <v>34.299999999999997</v>
      </c>
      <c r="Q183">
        <v>119960</v>
      </c>
      <c r="R183">
        <v>194555</v>
      </c>
      <c r="T183" s="1"/>
    </row>
    <row r="184" spans="1:20" x14ac:dyDescent="0.2">
      <c r="A184" t="s">
        <v>185</v>
      </c>
      <c r="B184" s="2">
        <v>9955.6409999999996</v>
      </c>
      <c r="C184" s="2">
        <v>69.052000000000007</v>
      </c>
      <c r="D184" s="1">
        <v>61.833333333333336</v>
      </c>
      <c r="E184" s="2">
        <v>1303.597</v>
      </c>
      <c r="F184" s="3">
        <v>260714</v>
      </c>
      <c r="G184" s="4">
        <v>87.116023238576702</v>
      </c>
      <c r="H184" s="5">
        <v>11.073333333333334</v>
      </c>
      <c r="I184">
        <v>3.0376446359041367</v>
      </c>
      <c r="J184" s="2">
        <v>6498.2290000000003</v>
      </c>
      <c r="K184" s="6">
        <v>1.7874309728946001</v>
      </c>
      <c r="L184">
        <v>6.8</v>
      </c>
      <c r="M184">
        <v>1.05</v>
      </c>
      <c r="N184">
        <f t="shared" si="2"/>
        <v>153.80469193343023</v>
      </c>
      <c r="O184" s="5">
        <v>3.06</v>
      </c>
      <c r="P184">
        <v>34.4</v>
      </c>
      <c r="Q184">
        <v>120626</v>
      </c>
      <c r="R184">
        <v>195068</v>
      </c>
      <c r="T184" s="1"/>
    </row>
    <row r="185" spans="1:20" x14ac:dyDescent="0.2">
      <c r="A185" t="s">
        <v>186</v>
      </c>
      <c r="B185" s="2">
        <v>10091.049000000001</v>
      </c>
      <c r="C185" s="2">
        <v>69.45</v>
      </c>
      <c r="D185" s="1">
        <v>61.9</v>
      </c>
      <c r="E185" s="2">
        <v>1372.097</v>
      </c>
      <c r="F185" s="3">
        <v>261547</v>
      </c>
      <c r="G185" s="4">
        <v>87.312435060063805</v>
      </c>
      <c r="H185" s="5">
        <v>11.153333333333332</v>
      </c>
      <c r="I185">
        <v>3.1274461094595627</v>
      </c>
      <c r="J185" s="2">
        <v>6555.2740000000003</v>
      </c>
      <c r="K185" s="6">
        <v>1.78275247827518</v>
      </c>
      <c r="L185">
        <v>6.6333333333333329</v>
      </c>
      <c r="M185">
        <v>1.375</v>
      </c>
      <c r="N185">
        <f t="shared" si="2"/>
        <v>154.33339556195139</v>
      </c>
      <c r="O185" s="5">
        <v>2.99</v>
      </c>
      <c r="P185">
        <v>34.4</v>
      </c>
      <c r="Q185">
        <v>121152</v>
      </c>
      <c r="R185">
        <v>195621</v>
      </c>
      <c r="T185" s="1"/>
    </row>
    <row r="186" spans="1:20" x14ac:dyDescent="0.2">
      <c r="A186" t="s">
        <v>187</v>
      </c>
      <c r="B186" s="2">
        <v>10188.954</v>
      </c>
      <c r="C186" s="2">
        <v>69.698999999999998</v>
      </c>
      <c r="D186" s="1">
        <v>62.2</v>
      </c>
      <c r="E186" s="2">
        <v>1424.36</v>
      </c>
      <c r="F186" s="3">
        <v>262250</v>
      </c>
      <c r="G186" s="4">
        <v>86.997623180955202</v>
      </c>
      <c r="H186" s="5">
        <v>11.233333333333333</v>
      </c>
      <c r="I186">
        <v>3.6875159333392951</v>
      </c>
      <c r="J186" s="2">
        <v>6630.2529999999997</v>
      </c>
      <c r="K186" s="6">
        <v>1.78145281308645</v>
      </c>
      <c r="L186">
        <v>6.5666666666666664</v>
      </c>
      <c r="M186">
        <v>0.92500000000000004</v>
      </c>
      <c r="N186">
        <f t="shared" si="2"/>
        <v>154.69029153918839</v>
      </c>
      <c r="O186" s="5">
        <v>3.2133333333333334</v>
      </c>
      <c r="P186">
        <v>34.4</v>
      </c>
      <c r="Q186">
        <v>121994</v>
      </c>
      <c r="R186">
        <v>196085</v>
      </c>
      <c r="T186" s="1"/>
    </row>
    <row r="187" spans="1:20" x14ac:dyDescent="0.2">
      <c r="A187" t="s">
        <v>188</v>
      </c>
      <c r="B187" s="2">
        <v>10327.019</v>
      </c>
      <c r="C187" s="2">
        <v>70.087999999999994</v>
      </c>
      <c r="D187" s="1">
        <v>62.366666666666667</v>
      </c>
      <c r="E187" s="2">
        <v>1494.4110000000001</v>
      </c>
      <c r="F187" s="3">
        <v>263020</v>
      </c>
      <c r="G187" s="4">
        <v>87.171090901484007</v>
      </c>
      <c r="H187" s="5">
        <v>11.29</v>
      </c>
      <c r="I187">
        <v>4.6837812259279943</v>
      </c>
      <c r="J187" s="2">
        <v>6681.8410000000003</v>
      </c>
      <c r="K187" s="6">
        <v>1.77636036165321</v>
      </c>
      <c r="L187">
        <v>6.2</v>
      </c>
      <c r="M187">
        <v>1.75</v>
      </c>
      <c r="N187">
        <f t="shared" si="2"/>
        <v>155.36706156467235</v>
      </c>
      <c r="O187" s="5">
        <v>3.94</v>
      </c>
      <c r="P187">
        <v>34.5</v>
      </c>
      <c r="Q187">
        <v>122596</v>
      </c>
      <c r="R187">
        <v>196522</v>
      </c>
      <c r="T187" s="1"/>
    </row>
    <row r="188" spans="1:20" x14ac:dyDescent="0.2">
      <c r="A188" t="s">
        <v>189</v>
      </c>
      <c r="B188" s="2">
        <v>10387.382</v>
      </c>
      <c r="C188" s="2">
        <v>70.590999999999994</v>
      </c>
      <c r="D188" s="1">
        <v>62.533333333333331</v>
      </c>
      <c r="E188" s="2">
        <v>1469.999</v>
      </c>
      <c r="F188" s="3">
        <v>263870</v>
      </c>
      <c r="G188" s="4">
        <v>87.155558799046105</v>
      </c>
      <c r="H188" s="5">
        <v>11.363333333333333</v>
      </c>
      <c r="I188">
        <v>5.0768406407501452</v>
      </c>
      <c r="J188" s="2">
        <v>6732.7910000000002</v>
      </c>
      <c r="K188" s="6">
        <v>1.7700161052908201</v>
      </c>
      <c r="L188">
        <v>6</v>
      </c>
      <c r="M188">
        <v>0.6</v>
      </c>
      <c r="N188">
        <f t="shared" si="2"/>
        <v>155.60011215701937</v>
      </c>
      <c r="O188" s="5">
        <v>4.4866666666666664</v>
      </c>
      <c r="P188">
        <v>34.5</v>
      </c>
      <c r="Q188">
        <v>123245</v>
      </c>
      <c r="R188">
        <v>197050</v>
      </c>
      <c r="T188" s="1"/>
    </row>
    <row r="189" spans="1:20" x14ac:dyDescent="0.2">
      <c r="A189" t="s">
        <v>190</v>
      </c>
      <c r="B189" s="2">
        <v>10506.371999999999</v>
      </c>
      <c r="C189" s="2">
        <v>70.923000000000002</v>
      </c>
      <c r="D189" s="1">
        <v>63</v>
      </c>
      <c r="E189" s="2">
        <v>1530.4760000000001</v>
      </c>
      <c r="F189" s="3">
        <v>264678</v>
      </c>
      <c r="G189" s="4">
        <v>87.767588790923298</v>
      </c>
      <c r="H189" s="5">
        <v>11.45</v>
      </c>
      <c r="I189">
        <v>7.1169659175488107</v>
      </c>
      <c r="J189" s="2">
        <v>6805.5810000000001</v>
      </c>
      <c r="K189" s="6">
        <v>1.76345583728855</v>
      </c>
      <c r="L189">
        <v>5.6333333333333329</v>
      </c>
      <c r="M189">
        <v>1.5</v>
      </c>
      <c r="N189">
        <f t="shared" si="2"/>
        <v>156.18361257760819</v>
      </c>
      <c r="O189" s="5">
        <v>5.166666666666667</v>
      </c>
      <c r="P189">
        <v>34.5</v>
      </c>
      <c r="Q189">
        <v>124450</v>
      </c>
      <c r="R189">
        <v>197601</v>
      </c>
      <c r="T189" s="1"/>
    </row>
    <row r="190" spans="1:20" x14ac:dyDescent="0.2">
      <c r="A190" t="s">
        <v>191</v>
      </c>
      <c r="B190" s="2">
        <v>10543.644</v>
      </c>
      <c r="C190" s="2">
        <v>71.27</v>
      </c>
      <c r="D190" s="1">
        <v>63.06666666666667</v>
      </c>
      <c r="E190" s="2">
        <v>1546.548</v>
      </c>
      <c r="F190" s="3">
        <v>265388</v>
      </c>
      <c r="G190" s="4">
        <v>87.904619024784495</v>
      </c>
      <c r="H190" s="5">
        <v>11.52</v>
      </c>
      <c r="I190">
        <v>5.9993918731469336</v>
      </c>
      <c r="J190" s="2">
        <v>6822.5190000000002</v>
      </c>
      <c r="K190" s="6">
        <v>1.7607673835337401</v>
      </c>
      <c r="L190">
        <v>5.4666666666666659</v>
      </c>
      <c r="M190">
        <v>0.55000000000000004</v>
      </c>
      <c r="N190">
        <f t="shared" si="2"/>
        <v>156.39836504490239</v>
      </c>
      <c r="O190" s="5">
        <v>5.81</v>
      </c>
      <c r="P190">
        <v>34.4</v>
      </c>
      <c r="Q190">
        <v>124849</v>
      </c>
      <c r="R190">
        <v>197882</v>
      </c>
      <c r="T190" s="1"/>
    </row>
    <row r="191" spans="1:20" x14ac:dyDescent="0.2">
      <c r="A191" t="s">
        <v>192</v>
      </c>
      <c r="B191" s="2">
        <v>10575.1</v>
      </c>
      <c r="C191" s="2">
        <v>71.685000000000002</v>
      </c>
      <c r="D191" s="1">
        <v>62.833333333333336</v>
      </c>
      <c r="E191" s="2">
        <v>1514.4259999999999</v>
      </c>
      <c r="F191" s="3">
        <v>266142</v>
      </c>
      <c r="G191" s="4">
        <v>87.666477503040994</v>
      </c>
      <c r="H191" s="5">
        <v>11.593333333333334</v>
      </c>
      <c r="I191">
        <v>5.6774720099531368</v>
      </c>
      <c r="J191" s="2">
        <v>6882.33</v>
      </c>
      <c r="K191" s="6">
        <v>1.7489975671512601</v>
      </c>
      <c r="L191">
        <v>5.666666666666667</v>
      </c>
      <c r="M191">
        <v>0.32500000000000001</v>
      </c>
      <c r="N191">
        <f t="shared" si="2"/>
        <v>156.52543871650138</v>
      </c>
      <c r="O191" s="5">
        <v>6.02</v>
      </c>
      <c r="P191">
        <v>34.299999999999997</v>
      </c>
      <c r="Q191">
        <v>124629</v>
      </c>
      <c r="R191">
        <v>198296</v>
      </c>
      <c r="T191" s="1"/>
    </row>
    <row r="192" spans="1:20" x14ac:dyDescent="0.2">
      <c r="A192" t="s">
        <v>193</v>
      </c>
      <c r="B192" s="2">
        <v>10665.06</v>
      </c>
      <c r="C192" s="2">
        <v>71.977999999999994</v>
      </c>
      <c r="D192" s="1">
        <v>62.833333333333336</v>
      </c>
      <c r="E192" s="2">
        <v>1505.3989999999999</v>
      </c>
      <c r="F192" s="3">
        <v>267000</v>
      </c>
      <c r="G192" s="4">
        <v>87.4915232236565</v>
      </c>
      <c r="H192" s="5">
        <v>11.696666666666667</v>
      </c>
      <c r="I192">
        <v>5.5419045113170817</v>
      </c>
      <c r="J192" s="2">
        <v>6944.7</v>
      </c>
      <c r="K192" s="6">
        <v>1.73827447898719</v>
      </c>
      <c r="L192">
        <v>5.666666666666667</v>
      </c>
      <c r="M192">
        <v>1.1499999999999999</v>
      </c>
      <c r="N192">
        <f t="shared" si="2"/>
        <v>156.97544935281132</v>
      </c>
      <c r="O192" s="5">
        <v>5.7966666666666669</v>
      </c>
      <c r="P192">
        <v>34.299999999999997</v>
      </c>
      <c r="Q192">
        <v>124934</v>
      </c>
      <c r="R192">
        <v>198807</v>
      </c>
      <c r="T192" s="1"/>
    </row>
    <row r="193" spans="1:20" x14ac:dyDescent="0.2">
      <c r="A193" t="s">
        <v>194</v>
      </c>
      <c r="B193" s="2">
        <v>10737.477999999999</v>
      </c>
      <c r="C193" s="2">
        <v>72.293999999999997</v>
      </c>
      <c r="D193" s="1">
        <v>62.8</v>
      </c>
      <c r="E193" s="2">
        <v>1542.7850000000001</v>
      </c>
      <c r="F193" s="3">
        <v>267820</v>
      </c>
      <c r="G193" s="4">
        <v>87.291019080245107</v>
      </c>
      <c r="H193" s="5">
        <v>11.78</v>
      </c>
      <c r="I193">
        <v>5.3324613449644387</v>
      </c>
      <c r="J193" s="2">
        <v>6993.1440000000002</v>
      </c>
      <c r="K193" s="6">
        <v>1.72408281270732</v>
      </c>
      <c r="L193">
        <v>5.5666666666666664</v>
      </c>
      <c r="M193">
        <v>0.82499999999999996</v>
      </c>
      <c r="N193">
        <f t="shared" si="2"/>
        <v>157.29921121710152</v>
      </c>
      <c r="O193" s="5">
        <v>5.72</v>
      </c>
      <c r="P193">
        <v>34.299999999999997</v>
      </c>
      <c r="Q193">
        <v>125221</v>
      </c>
      <c r="R193">
        <v>199352</v>
      </c>
      <c r="T193" s="1"/>
    </row>
    <row r="194" spans="1:20" x14ac:dyDescent="0.2">
      <c r="A194" t="s">
        <v>195</v>
      </c>
      <c r="B194" s="2">
        <v>10817.896000000001</v>
      </c>
      <c r="C194" s="2">
        <v>72.695999999999998</v>
      </c>
      <c r="D194" s="1">
        <v>62.866666666666667</v>
      </c>
      <c r="E194" s="2">
        <v>1567.56</v>
      </c>
      <c r="F194" s="3">
        <v>268487</v>
      </c>
      <c r="G194" s="4">
        <v>87.553221407192893</v>
      </c>
      <c r="H194" s="5">
        <v>11.873333333333333</v>
      </c>
      <c r="I194">
        <v>5.1515803611808568</v>
      </c>
      <c r="J194" s="2">
        <v>7057.6409999999996</v>
      </c>
      <c r="K194" s="6">
        <v>1.7088647683121601</v>
      </c>
      <c r="L194">
        <v>5.5333333333333341</v>
      </c>
      <c r="M194">
        <v>0.82499999999999996</v>
      </c>
      <c r="N194">
        <f t="shared" si="2"/>
        <v>157.62364084023679</v>
      </c>
      <c r="O194" s="5">
        <v>5.3633333333333333</v>
      </c>
      <c r="P194">
        <v>34.1</v>
      </c>
      <c r="Q194">
        <v>125542</v>
      </c>
      <c r="R194">
        <v>199776</v>
      </c>
      <c r="T194" s="1"/>
    </row>
    <row r="195" spans="1:20" x14ac:dyDescent="0.2">
      <c r="A195" t="s">
        <v>196</v>
      </c>
      <c r="B195" s="2">
        <v>10998.322</v>
      </c>
      <c r="C195" s="2">
        <v>73.182000000000002</v>
      </c>
      <c r="D195" s="1">
        <v>63.06666666666667</v>
      </c>
      <c r="E195" s="2">
        <v>1642.8820000000001</v>
      </c>
      <c r="F195" s="3">
        <v>269251</v>
      </c>
      <c r="G195" s="4">
        <v>87.708872643029693</v>
      </c>
      <c r="H195" s="5">
        <v>11.983333333333333</v>
      </c>
      <c r="I195">
        <v>5.2649094889866124</v>
      </c>
      <c r="J195" s="2">
        <v>7133.5659999999998</v>
      </c>
      <c r="K195" s="6">
        <v>1.6857573327745801</v>
      </c>
      <c r="L195">
        <v>5.5</v>
      </c>
      <c r="M195">
        <v>1.9750000000000001</v>
      </c>
      <c r="N195">
        <f t="shared" si="2"/>
        <v>158.40190756688546</v>
      </c>
      <c r="O195" s="5">
        <v>5.2433333333333332</v>
      </c>
      <c r="P195">
        <v>34.299999999999997</v>
      </c>
      <c r="Q195">
        <v>126280</v>
      </c>
      <c r="R195">
        <v>200279</v>
      </c>
      <c r="T195" s="1"/>
    </row>
    <row r="196" spans="1:20" x14ac:dyDescent="0.2">
      <c r="A196" t="s">
        <v>197</v>
      </c>
      <c r="B196" s="2">
        <v>11096.976000000001</v>
      </c>
      <c r="C196" s="2">
        <v>73.494</v>
      </c>
      <c r="D196" s="1">
        <v>63.333333333333336</v>
      </c>
      <c r="E196" s="2">
        <v>1717.51</v>
      </c>
      <c r="F196" s="3">
        <v>270128</v>
      </c>
      <c r="G196" s="4">
        <v>88.2032789288033</v>
      </c>
      <c r="H196" s="5">
        <v>12.09</v>
      </c>
      <c r="I196">
        <v>5.29365760174813</v>
      </c>
      <c r="J196" s="2">
        <v>7176.7539999999999</v>
      </c>
      <c r="K196" s="6">
        <v>1.6763004619595701</v>
      </c>
      <c r="L196">
        <v>5.2666666666666666</v>
      </c>
      <c r="M196">
        <v>1.2250000000000001</v>
      </c>
      <c r="N196">
        <f t="shared" si="2"/>
        <v>158.88701340880903</v>
      </c>
      <c r="O196" s="5">
        <v>5.3066666666666666</v>
      </c>
      <c r="P196">
        <v>34.4</v>
      </c>
      <c r="Q196">
        <v>127218</v>
      </c>
      <c r="R196">
        <v>200850</v>
      </c>
      <c r="T196" s="1"/>
    </row>
    <row r="197" spans="1:20" x14ac:dyDescent="0.2">
      <c r="A197" t="s">
        <v>198</v>
      </c>
      <c r="B197" s="2">
        <v>11212.205</v>
      </c>
      <c r="C197" s="2">
        <v>73.995000000000005</v>
      </c>
      <c r="D197" s="1">
        <v>63.43333333333333</v>
      </c>
      <c r="E197" s="2">
        <v>1715.2449999999999</v>
      </c>
      <c r="F197" s="3">
        <v>270991</v>
      </c>
      <c r="G197" s="4">
        <v>88.2668167802657</v>
      </c>
      <c r="H197" s="5">
        <v>12.196666666666667</v>
      </c>
      <c r="I197">
        <v>5.224913310196138</v>
      </c>
      <c r="J197" s="2">
        <v>7233.9179999999997</v>
      </c>
      <c r="K197" s="6">
        <v>1.6576473318653699</v>
      </c>
      <c r="L197">
        <v>5.333333333333333</v>
      </c>
      <c r="M197">
        <v>1.25</v>
      </c>
      <c r="N197">
        <f t="shared" si="2"/>
        <v>159.38353532571156</v>
      </c>
      <c r="O197" s="5">
        <v>5.28</v>
      </c>
      <c r="P197">
        <v>34.4</v>
      </c>
      <c r="Q197">
        <v>127840</v>
      </c>
      <c r="R197">
        <v>201457</v>
      </c>
      <c r="T197" s="1"/>
    </row>
    <row r="198" spans="1:20" x14ac:dyDescent="0.2">
      <c r="A198" t="s">
        <v>199</v>
      </c>
      <c r="B198" s="2">
        <v>11284.587</v>
      </c>
      <c r="C198" s="2">
        <v>74.322999999999993</v>
      </c>
      <c r="D198" s="1">
        <v>63.466666666666669</v>
      </c>
      <c r="E198" s="2">
        <v>1749.8789999999999</v>
      </c>
      <c r="F198" s="3">
        <v>271709</v>
      </c>
      <c r="G198" s="4">
        <v>88.194950372711602</v>
      </c>
      <c r="H198" s="5">
        <v>12.32</v>
      </c>
      <c r="I198">
        <v>5.4916298386580005</v>
      </c>
      <c r="J198" s="2">
        <v>7310.17</v>
      </c>
      <c r="K198" s="6">
        <v>1.64517404802151</v>
      </c>
      <c r="L198">
        <v>5.2333333333333334</v>
      </c>
      <c r="M198">
        <v>0.65</v>
      </c>
      <c r="N198">
        <f t="shared" si="2"/>
        <v>159.64253357061585</v>
      </c>
      <c r="O198" s="5">
        <v>5.2766666666666664</v>
      </c>
      <c r="P198">
        <v>34.4</v>
      </c>
      <c r="Q198">
        <v>128496</v>
      </c>
      <c r="R198">
        <v>202396</v>
      </c>
      <c r="T198" s="1"/>
    </row>
    <row r="199" spans="1:20" x14ac:dyDescent="0.2">
      <c r="A199" t="s">
        <v>200</v>
      </c>
      <c r="B199" s="2">
        <v>11472.137000000001</v>
      </c>
      <c r="C199" s="2">
        <v>74.509</v>
      </c>
      <c r="D199" s="1">
        <v>63.733333333333334</v>
      </c>
      <c r="E199" s="2">
        <v>1856.9559999999999</v>
      </c>
      <c r="F199" s="3">
        <v>272487</v>
      </c>
      <c r="G199" s="4">
        <v>88.288300103706305</v>
      </c>
      <c r="H199" s="5">
        <v>12.426666666666666</v>
      </c>
      <c r="I199">
        <v>5.3247004149903665</v>
      </c>
      <c r="J199" s="2">
        <v>7343.08</v>
      </c>
      <c r="K199" s="6">
        <v>1.63201487518235</v>
      </c>
      <c r="L199">
        <v>5</v>
      </c>
      <c r="M199">
        <v>2.0249999999999999</v>
      </c>
      <c r="N199">
        <f t="shared" ref="N199:N262" si="3">N198*(1+M199/400)</f>
        <v>160.4507238968171</v>
      </c>
      <c r="O199" s="5">
        <v>5.5233333333333334</v>
      </c>
      <c r="P199">
        <v>34.5</v>
      </c>
      <c r="Q199">
        <v>129340</v>
      </c>
      <c r="R199">
        <v>202835</v>
      </c>
      <c r="T199" s="1"/>
    </row>
    <row r="200" spans="1:20" x14ac:dyDescent="0.2">
      <c r="A200" t="s">
        <v>201</v>
      </c>
      <c r="B200" s="2">
        <v>11615.636</v>
      </c>
      <c r="C200" s="2">
        <v>74.706000000000003</v>
      </c>
      <c r="D200" s="1">
        <v>63.9</v>
      </c>
      <c r="E200" s="2">
        <v>1882.9549999999999</v>
      </c>
      <c r="F200" s="3">
        <v>273391</v>
      </c>
      <c r="G200" s="4">
        <v>88.647160629768095</v>
      </c>
      <c r="H200" s="5">
        <v>12.556666666666667</v>
      </c>
      <c r="I200">
        <v>5.5292547132159182</v>
      </c>
      <c r="J200" s="2">
        <v>7468.1880000000001</v>
      </c>
      <c r="K200" s="6">
        <v>1.62114961297675</v>
      </c>
      <c r="L200">
        <v>4.8666666666666663</v>
      </c>
      <c r="M200">
        <v>1.45</v>
      </c>
      <c r="N200">
        <f t="shared" si="3"/>
        <v>161.03235777094307</v>
      </c>
      <c r="O200" s="5">
        <v>5.5333333333333332</v>
      </c>
      <c r="P200">
        <v>34.6</v>
      </c>
      <c r="Q200">
        <v>129950</v>
      </c>
      <c r="R200">
        <v>203367</v>
      </c>
      <c r="T200" s="1"/>
    </row>
    <row r="201" spans="1:20" x14ac:dyDescent="0.2">
      <c r="A201" t="s">
        <v>202</v>
      </c>
      <c r="B201" s="2">
        <v>11715.393</v>
      </c>
      <c r="C201" s="2">
        <v>74.941000000000003</v>
      </c>
      <c r="D201" s="1">
        <v>64</v>
      </c>
      <c r="E201" s="2">
        <v>1911.048</v>
      </c>
      <c r="F201" s="3">
        <v>274246</v>
      </c>
      <c r="G201" s="4">
        <v>88.604512735863906</v>
      </c>
      <c r="H201" s="5">
        <v>12.706666666666667</v>
      </c>
      <c r="I201">
        <v>5.4233050386952</v>
      </c>
      <c r="J201" s="2">
        <v>7557.4489999999996</v>
      </c>
      <c r="K201" s="6">
        <v>1.60673294523042</v>
      </c>
      <c r="L201">
        <v>4.666666666666667</v>
      </c>
      <c r="M201">
        <v>0.97499999999999998</v>
      </c>
      <c r="N201">
        <f t="shared" si="3"/>
        <v>161.42487414300976</v>
      </c>
      <c r="O201" s="5">
        <v>5.5066666666666668</v>
      </c>
      <c r="P201">
        <v>34.6</v>
      </c>
      <c r="Q201">
        <v>130504</v>
      </c>
      <c r="R201">
        <v>203935</v>
      </c>
      <c r="T201" s="1"/>
    </row>
    <row r="202" spans="1:20" x14ac:dyDescent="0.2">
      <c r="A202" t="s">
        <v>203</v>
      </c>
      <c r="B202" s="2">
        <v>11832.486000000001</v>
      </c>
      <c r="C202" s="2">
        <v>74.947000000000003</v>
      </c>
      <c r="D202" s="1">
        <v>64</v>
      </c>
      <c r="E202" s="2">
        <v>1994.375</v>
      </c>
      <c r="F202" s="3">
        <v>274950</v>
      </c>
      <c r="G202" s="4">
        <v>88.732227283849298</v>
      </c>
      <c r="H202" s="5">
        <v>12.83</v>
      </c>
      <c r="I202">
        <v>5.3667039925136475</v>
      </c>
      <c r="J202" s="2">
        <v>7633.8950000000004</v>
      </c>
      <c r="K202" s="6">
        <v>1.59354089740926</v>
      </c>
      <c r="L202">
        <v>4.6333333333333329</v>
      </c>
      <c r="M202">
        <v>1.575</v>
      </c>
      <c r="N202">
        <f t="shared" si="3"/>
        <v>162.06048458494786</v>
      </c>
      <c r="O202" s="5">
        <v>5.52</v>
      </c>
      <c r="P202">
        <v>34.5</v>
      </c>
      <c r="Q202">
        <v>130782</v>
      </c>
      <c r="R202">
        <v>204395</v>
      </c>
      <c r="T202" s="1"/>
    </row>
    <row r="203" spans="1:20" x14ac:dyDescent="0.2">
      <c r="A203" t="s">
        <v>204</v>
      </c>
      <c r="B203" s="2">
        <v>11942.031999999999</v>
      </c>
      <c r="C203" s="2">
        <v>75.081000000000003</v>
      </c>
      <c r="D203" s="1">
        <v>64.066666666666663</v>
      </c>
      <c r="E203" s="2">
        <v>1982.058</v>
      </c>
      <c r="F203" s="3">
        <v>275703</v>
      </c>
      <c r="G203" s="4">
        <v>88.851732589190107</v>
      </c>
      <c r="H203" s="5">
        <v>12.96</v>
      </c>
      <c r="I203">
        <v>5.2941650494289281</v>
      </c>
      <c r="J203" s="2">
        <v>7768.3230000000003</v>
      </c>
      <c r="K203" s="6">
        <v>1.57883442498271</v>
      </c>
      <c r="L203">
        <v>4.3999999999999995</v>
      </c>
      <c r="M203">
        <v>1.075</v>
      </c>
      <c r="N203">
        <f t="shared" si="3"/>
        <v>162.4960221372699</v>
      </c>
      <c r="O203" s="5">
        <v>5.5</v>
      </c>
      <c r="P203">
        <v>34.4</v>
      </c>
      <c r="Q203">
        <v>131259</v>
      </c>
      <c r="R203">
        <v>204905</v>
      </c>
      <c r="T203" s="1"/>
    </row>
    <row r="204" spans="1:20" x14ac:dyDescent="0.2">
      <c r="A204" t="s">
        <v>205</v>
      </c>
      <c r="B204" s="2">
        <v>12091.614</v>
      </c>
      <c r="C204" s="2">
        <v>75.313000000000002</v>
      </c>
      <c r="D204" s="1">
        <v>64.033333333333331</v>
      </c>
      <c r="E204" s="2">
        <v>2033.0150000000001</v>
      </c>
      <c r="F204" s="3">
        <v>276564</v>
      </c>
      <c r="G204" s="4">
        <v>88.760411275458694</v>
      </c>
      <c r="H204" s="5">
        <v>13.063333333333333</v>
      </c>
      <c r="I204">
        <v>4.8476709169039793</v>
      </c>
      <c r="J204" s="2">
        <v>7869.6239999999998</v>
      </c>
      <c r="K204" s="6">
        <v>1.5633110643880599</v>
      </c>
      <c r="L204">
        <v>4.5333333333333332</v>
      </c>
      <c r="M204">
        <v>1.5</v>
      </c>
      <c r="N204">
        <f t="shared" si="3"/>
        <v>163.10538222028464</v>
      </c>
      <c r="O204" s="5">
        <v>5.5333333333333332</v>
      </c>
      <c r="P204">
        <v>34.4</v>
      </c>
      <c r="Q204">
        <v>131568</v>
      </c>
      <c r="R204">
        <v>205483</v>
      </c>
      <c r="T204" s="1"/>
    </row>
    <row r="205" spans="1:20" x14ac:dyDescent="0.2">
      <c r="A205" t="s">
        <v>206</v>
      </c>
      <c r="B205" s="2">
        <v>12287</v>
      </c>
      <c r="C205" s="2">
        <v>75.510000000000005</v>
      </c>
      <c r="D205" s="1">
        <v>64.2</v>
      </c>
      <c r="E205" s="2">
        <v>2095.7600000000002</v>
      </c>
      <c r="F205" s="3">
        <v>277400</v>
      </c>
      <c r="G205" s="4">
        <v>88.983192515124998</v>
      </c>
      <c r="H205" s="5">
        <v>13.176666666666666</v>
      </c>
      <c r="I205">
        <v>4.693058144462583</v>
      </c>
      <c r="J205" s="2">
        <v>7983.3159999999998</v>
      </c>
      <c r="K205" s="6">
        <v>1.5498880604078999</v>
      </c>
      <c r="L205">
        <v>4.4333333333333336</v>
      </c>
      <c r="M205">
        <v>2.0750000000000002</v>
      </c>
      <c r="N205">
        <f t="shared" si="3"/>
        <v>163.95149139055235</v>
      </c>
      <c r="O205" s="5">
        <v>4.8600000000000003</v>
      </c>
      <c r="P205">
        <v>34.5</v>
      </c>
      <c r="Q205">
        <v>132294</v>
      </c>
      <c r="R205">
        <v>206098</v>
      </c>
      <c r="T205" s="1"/>
    </row>
    <row r="206" spans="1:20" x14ac:dyDescent="0.2">
      <c r="A206" t="s">
        <v>207</v>
      </c>
      <c r="B206" s="2">
        <v>12403.293</v>
      </c>
      <c r="C206" s="2">
        <v>75.706999999999994</v>
      </c>
      <c r="D206" s="1">
        <v>64.266666666666666</v>
      </c>
      <c r="E206" s="2">
        <v>2153.308</v>
      </c>
      <c r="F206" s="3">
        <v>278103</v>
      </c>
      <c r="G206" s="4">
        <v>89.190764635152107</v>
      </c>
      <c r="H206" s="5">
        <v>13.3</v>
      </c>
      <c r="I206">
        <v>4.7290210260007299</v>
      </c>
      <c r="J206" s="2">
        <v>8060.7759999999998</v>
      </c>
      <c r="K206" s="6">
        <v>1.53771881216335</v>
      </c>
      <c r="L206">
        <v>4.3</v>
      </c>
      <c r="M206">
        <v>1.25</v>
      </c>
      <c r="N206">
        <f t="shared" si="3"/>
        <v>164.46383980114783</v>
      </c>
      <c r="O206" s="5">
        <v>4.7333333333333334</v>
      </c>
      <c r="P206">
        <v>34.4</v>
      </c>
      <c r="Q206">
        <v>132943</v>
      </c>
      <c r="R206">
        <v>206876</v>
      </c>
      <c r="T206" s="1"/>
    </row>
    <row r="207" spans="1:20" x14ac:dyDescent="0.2">
      <c r="A207" t="s">
        <v>208</v>
      </c>
      <c r="B207" s="2">
        <v>12498.694</v>
      </c>
      <c r="C207" s="2">
        <v>76.12</v>
      </c>
      <c r="D207" s="1">
        <v>64.233333333333334</v>
      </c>
      <c r="E207" s="2">
        <v>2154.652</v>
      </c>
      <c r="F207" s="3">
        <v>278864</v>
      </c>
      <c r="G207" s="4">
        <v>89.009943711019602</v>
      </c>
      <c r="H207" s="5">
        <v>13.423333333333334</v>
      </c>
      <c r="I207">
        <v>4.9263890872380021</v>
      </c>
      <c r="J207" s="2">
        <v>8178.3019999999997</v>
      </c>
      <c r="K207" s="6">
        <v>1.5212930067902899</v>
      </c>
      <c r="L207">
        <v>4.2666666666666666</v>
      </c>
      <c r="M207">
        <v>0.9</v>
      </c>
      <c r="N207">
        <f t="shared" si="3"/>
        <v>164.83388344070042</v>
      </c>
      <c r="O207" s="5">
        <v>4.746666666666667</v>
      </c>
      <c r="P207">
        <v>34.299999999999997</v>
      </c>
      <c r="Q207">
        <v>133215</v>
      </c>
      <c r="R207">
        <v>207432</v>
      </c>
      <c r="T207" s="1"/>
    </row>
    <row r="208" spans="1:20" x14ac:dyDescent="0.2">
      <c r="A208" t="s">
        <v>209</v>
      </c>
      <c r="B208" s="2">
        <v>12662.385</v>
      </c>
      <c r="C208" s="2">
        <v>76.522999999999996</v>
      </c>
      <c r="D208" s="1">
        <v>64.2</v>
      </c>
      <c r="E208" s="2">
        <v>2213.7730000000001</v>
      </c>
      <c r="F208" s="3">
        <v>279751</v>
      </c>
      <c r="G208" s="4">
        <v>88.7563065727458</v>
      </c>
      <c r="H208" s="5">
        <v>13.55</v>
      </c>
      <c r="I208">
        <v>5.1726637685096843</v>
      </c>
      <c r="J208" s="2">
        <v>8270.6090000000004</v>
      </c>
      <c r="K208" s="6">
        <v>1.5036884066165701</v>
      </c>
      <c r="L208">
        <v>4.2333333333333334</v>
      </c>
      <c r="M208">
        <v>1.65</v>
      </c>
      <c r="N208">
        <f t="shared" si="3"/>
        <v>165.5138232098933</v>
      </c>
      <c r="O208" s="5">
        <v>5.0933333333333337</v>
      </c>
      <c r="P208">
        <v>34.4</v>
      </c>
      <c r="Q208">
        <v>133571</v>
      </c>
      <c r="R208">
        <v>208044</v>
      </c>
      <c r="T208" s="1"/>
    </row>
    <row r="209" spans="1:20" x14ac:dyDescent="0.2">
      <c r="A209" t="s">
        <v>210</v>
      </c>
      <c r="B209" s="2">
        <v>12877.593000000001</v>
      </c>
      <c r="C209" s="2">
        <v>76.974999999999994</v>
      </c>
      <c r="D209" s="1">
        <v>64.36666666666666</v>
      </c>
      <c r="E209" s="2">
        <v>2273.0949999999998</v>
      </c>
      <c r="F209" s="3">
        <v>280592</v>
      </c>
      <c r="G209" s="4">
        <v>88.983611414455495</v>
      </c>
      <c r="H209" s="5">
        <v>13.666666666666666</v>
      </c>
      <c r="I209">
        <v>5.8263679534420154</v>
      </c>
      <c r="J209" s="2">
        <v>8391.7909999999993</v>
      </c>
      <c r="K209" s="6">
        <v>1.48905057305711</v>
      </c>
      <c r="L209">
        <v>4.0666666666666664</v>
      </c>
      <c r="M209">
        <v>1.925</v>
      </c>
      <c r="N209">
        <f t="shared" si="3"/>
        <v>166.31035848409093</v>
      </c>
      <c r="O209" s="5">
        <v>5.3066666666666666</v>
      </c>
      <c r="P209">
        <v>34.4</v>
      </c>
      <c r="Q209">
        <v>134275</v>
      </c>
      <c r="R209">
        <v>208660</v>
      </c>
      <c r="T209" s="1"/>
    </row>
    <row r="210" spans="1:20" x14ac:dyDescent="0.2">
      <c r="A210" t="s">
        <v>211</v>
      </c>
      <c r="B210" s="2">
        <v>12924.179</v>
      </c>
      <c r="C210" s="2">
        <v>77.617999999999995</v>
      </c>
      <c r="D210" s="1">
        <v>64.599999999999994</v>
      </c>
      <c r="E210" s="2">
        <v>2257.1089999999999</v>
      </c>
      <c r="F210" s="3">
        <v>281304</v>
      </c>
      <c r="G210" s="4">
        <v>89.175331430466699</v>
      </c>
      <c r="H210" s="5">
        <v>13.8</v>
      </c>
      <c r="I210">
        <v>6.0630262979030753</v>
      </c>
      <c r="J210" s="2">
        <v>8520.7099999999991</v>
      </c>
      <c r="K210" s="6">
        <v>1.47523528243379</v>
      </c>
      <c r="L210">
        <v>4.0333333333333332</v>
      </c>
      <c r="M210">
        <v>0.1</v>
      </c>
      <c r="N210">
        <f t="shared" si="3"/>
        <v>166.35193607371195</v>
      </c>
      <c r="O210" s="5">
        <v>5.6766666666666667</v>
      </c>
      <c r="P210">
        <v>34.4</v>
      </c>
      <c r="Q210">
        <v>136619</v>
      </c>
      <c r="R210">
        <v>211586</v>
      </c>
      <c r="T210" s="1"/>
    </row>
    <row r="211" spans="1:20" x14ac:dyDescent="0.2">
      <c r="A211" t="s">
        <v>212</v>
      </c>
      <c r="B211" s="2">
        <v>13160.842000000001</v>
      </c>
      <c r="C211" s="2">
        <v>77.966999999999999</v>
      </c>
      <c r="D211" s="1">
        <v>64.533333333333331</v>
      </c>
      <c r="E211" s="2">
        <v>2390.7330000000002</v>
      </c>
      <c r="F211" s="3">
        <v>282002</v>
      </c>
      <c r="G211" s="4">
        <v>89.138204871354304</v>
      </c>
      <c r="H211" s="5">
        <v>13.94</v>
      </c>
      <c r="I211">
        <v>6.4607006938359719</v>
      </c>
      <c r="J211" s="2">
        <v>8603.0069999999996</v>
      </c>
      <c r="K211" s="6">
        <v>1.46665316096976</v>
      </c>
      <c r="L211">
        <v>3.9333333333333336</v>
      </c>
      <c r="M211">
        <v>2.2749999999999999</v>
      </c>
      <c r="N211">
        <f t="shared" si="3"/>
        <v>167.29806271013121</v>
      </c>
      <c r="O211" s="5">
        <v>6.2733333333333334</v>
      </c>
      <c r="P211">
        <v>34.299999999999997</v>
      </c>
      <c r="Q211">
        <v>136947</v>
      </c>
      <c r="R211">
        <v>212242</v>
      </c>
      <c r="T211" s="1"/>
    </row>
    <row r="212" spans="1:20" x14ac:dyDescent="0.2">
      <c r="A212" t="s">
        <v>213</v>
      </c>
      <c r="B212" s="2">
        <v>13178.419</v>
      </c>
      <c r="C212" s="2">
        <v>78.45</v>
      </c>
      <c r="D212" s="1">
        <v>64.2</v>
      </c>
      <c r="E212" s="2">
        <v>2367.2739999999999</v>
      </c>
      <c r="F212" s="3">
        <v>282769</v>
      </c>
      <c r="G212" s="4">
        <v>88.871966246364295</v>
      </c>
      <c r="H212" s="5">
        <v>14.066666666666666</v>
      </c>
      <c r="I212">
        <v>6.5205523152909102</v>
      </c>
      <c r="J212" s="2">
        <v>8687.4850000000006</v>
      </c>
      <c r="K212" s="6">
        <v>1.4527662129257499</v>
      </c>
      <c r="L212">
        <v>4</v>
      </c>
      <c r="M212">
        <v>-7.4999999999999997E-2</v>
      </c>
      <c r="N212">
        <f t="shared" si="3"/>
        <v>167.26669432337306</v>
      </c>
      <c r="O212" s="5">
        <v>6.52</v>
      </c>
      <c r="P212">
        <v>34.299999999999997</v>
      </c>
      <c r="Q212">
        <v>136695</v>
      </c>
      <c r="R212">
        <v>212919</v>
      </c>
      <c r="T212" s="1"/>
    </row>
    <row r="213" spans="1:20" x14ac:dyDescent="0.2">
      <c r="A213" t="s">
        <v>214</v>
      </c>
      <c r="B213" s="2">
        <v>13260.505999999999</v>
      </c>
      <c r="C213" s="2">
        <v>78.885000000000005</v>
      </c>
      <c r="D213" s="1">
        <v>64.3</v>
      </c>
      <c r="E213" s="2">
        <v>2371.8090000000002</v>
      </c>
      <c r="F213" s="3">
        <v>283518</v>
      </c>
      <c r="G213" s="4">
        <v>88.824387889161798</v>
      </c>
      <c r="H213" s="5">
        <v>14.226666666666667</v>
      </c>
      <c r="I213">
        <v>5.9889543054087468</v>
      </c>
      <c r="J213" s="2">
        <v>8762.2049999999999</v>
      </c>
      <c r="K213" s="6">
        <v>1.44039530748227</v>
      </c>
      <c r="L213">
        <v>3.9</v>
      </c>
      <c r="M213">
        <v>0.65</v>
      </c>
      <c r="N213">
        <f t="shared" si="3"/>
        <v>167.53850270164853</v>
      </c>
      <c r="O213" s="5">
        <v>6.4733333333333336</v>
      </c>
      <c r="P213">
        <v>34.200000000000003</v>
      </c>
      <c r="Q213">
        <v>137341</v>
      </c>
      <c r="R213">
        <v>213560</v>
      </c>
      <c r="T213" s="1"/>
    </row>
    <row r="214" spans="1:20" x14ac:dyDescent="0.2">
      <c r="A214" t="s">
        <v>215</v>
      </c>
      <c r="B214" s="2">
        <v>13222.69</v>
      </c>
      <c r="C214" s="2">
        <v>79.421000000000006</v>
      </c>
      <c r="D214" s="1">
        <v>64.333333333333329</v>
      </c>
      <c r="E214" s="2">
        <v>2264.2020000000002</v>
      </c>
      <c r="F214" s="3">
        <v>284169</v>
      </c>
      <c r="G214" s="4">
        <v>88.555949629086001</v>
      </c>
      <c r="H214" s="5">
        <v>14.356666666666667</v>
      </c>
      <c r="I214">
        <v>4.2951606062862062</v>
      </c>
      <c r="J214" s="2">
        <v>8797.2800000000007</v>
      </c>
      <c r="K214" s="6">
        <v>1.4221844424582799</v>
      </c>
      <c r="L214">
        <v>4.2333333333333334</v>
      </c>
      <c r="M214">
        <v>-0.57499999999999996</v>
      </c>
      <c r="N214">
        <f t="shared" si="3"/>
        <v>167.29766610401492</v>
      </c>
      <c r="O214" s="5">
        <v>5.5933333333333337</v>
      </c>
      <c r="P214">
        <v>34.1</v>
      </c>
      <c r="Q214">
        <v>137724</v>
      </c>
      <c r="R214">
        <v>214101</v>
      </c>
      <c r="T214" s="1"/>
    </row>
    <row r="215" spans="1:20" x14ac:dyDescent="0.2">
      <c r="A215" t="s">
        <v>216</v>
      </c>
      <c r="B215" s="2">
        <v>13299.984</v>
      </c>
      <c r="C215" s="2">
        <v>79.793999999999997</v>
      </c>
      <c r="D215" s="1">
        <v>63.833333333333336</v>
      </c>
      <c r="E215" s="2">
        <v>2267.433</v>
      </c>
      <c r="F215" s="3">
        <v>284838</v>
      </c>
      <c r="G215" s="4">
        <v>88.215424305728206</v>
      </c>
      <c r="H215" s="5">
        <v>14.496666666666666</v>
      </c>
      <c r="I215">
        <v>3.2721583142373909</v>
      </c>
      <c r="J215" s="2">
        <v>8818.0789999999997</v>
      </c>
      <c r="K215" s="6">
        <v>1.4095183268414799</v>
      </c>
      <c r="L215">
        <v>4.3999999999999995</v>
      </c>
      <c r="M215">
        <v>0.77500000000000002</v>
      </c>
      <c r="N215">
        <f t="shared" si="3"/>
        <v>167.62180533209144</v>
      </c>
      <c r="O215" s="5">
        <v>4.3266666666666671</v>
      </c>
      <c r="P215">
        <v>34</v>
      </c>
      <c r="Q215">
        <v>137088</v>
      </c>
      <c r="R215">
        <v>214736</v>
      </c>
      <c r="T215" s="1"/>
    </row>
    <row r="216" spans="1:20" x14ac:dyDescent="0.2">
      <c r="A216" t="s">
        <v>217</v>
      </c>
      <c r="B216" s="2">
        <v>13244.784</v>
      </c>
      <c r="C216" s="2">
        <v>79.841999999999999</v>
      </c>
      <c r="D216" s="1">
        <v>63.466666666666669</v>
      </c>
      <c r="E216" s="2">
        <v>2218.37</v>
      </c>
      <c r="F216" s="3">
        <v>285584</v>
      </c>
      <c r="G216" s="4">
        <v>87.712433829321398</v>
      </c>
      <c r="H216" s="5">
        <v>14.59</v>
      </c>
      <c r="I216">
        <v>2.1729596268419193</v>
      </c>
      <c r="J216" s="2">
        <v>8848.2999999999993</v>
      </c>
      <c r="K216" s="6">
        <v>1.4033519911519901</v>
      </c>
      <c r="L216">
        <v>4.833333333333333</v>
      </c>
      <c r="M216">
        <v>-0.65</v>
      </c>
      <c r="N216">
        <f t="shared" si="3"/>
        <v>167.34941989842679</v>
      </c>
      <c r="O216" s="5">
        <v>3.4966666666666666</v>
      </c>
      <c r="P216">
        <v>33.9</v>
      </c>
      <c r="Q216">
        <v>136719</v>
      </c>
      <c r="R216">
        <v>215422</v>
      </c>
      <c r="T216" s="1"/>
    </row>
    <row r="217" spans="1:20" x14ac:dyDescent="0.2">
      <c r="A217" t="s">
        <v>218</v>
      </c>
      <c r="B217" s="2">
        <v>13280.859</v>
      </c>
      <c r="C217" s="2">
        <v>79.891000000000005</v>
      </c>
      <c r="D217" s="1">
        <v>63.033333333333331</v>
      </c>
      <c r="E217" s="2">
        <v>2108.5</v>
      </c>
      <c r="F217" s="3">
        <v>286311</v>
      </c>
      <c r="G217" s="4">
        <v>87.173945511571901</v>
      </c>
      <c r="H217" s="5">
        <v>14.706666666666667</v>
      </c>
      <c r="I217">
        <v>0.67466698301651729</v>
      </c>
      <c r="J217" s="2">
        <v>8980.61</v>
      </c>
      <c r="K217" s="6">
        <v>1.3965777829458801</v>
      </c>
      <c r="L217">
        <v>5.5</v>
      </c>
      <c r="M217">
        <v>0.125</v>
      </c>
      <c r="N217">
        <f t="shared" si="3"/>
        <v>167.40171659214505</v>
      </c>
      <c r="O217" s="5">
        <v>2.1333333333333333</v>
      </c>
      <c r="P217">
        <v>33.799999999999997</v>
      </c>
      <c r="Q217">
        <v>136226</v>
      </c>
      <c r="R217">
        <v>216112</v>
      </c>
      <c r="T217" s="1"/>
    </row>
    <row r="218" spans="1:20" x14ac:dyDescent="0.2">
      <c r="A218" t="s">
        <v>219</v>
      </c>
      <c r="B218" s="2">
        <v>13397.002</v>
      </c>
      <c r="C218" s="2">
        <v>80.037999999999997</v>
      </c>
      <c r="D218" s="1">
        <v>62.833333333333336</v>
      </c>
      <c r="E218" s="2">
        <v>2170.7069999999999</v>
      </c>
      <c r="F218" s="3">
        <v>286935</v>
      </c>
      <c r="G218" s="4">
        <v>87.028458161459895</v>
      </c>
      <c r="H218" s="5">
        <v>14.786666666666667</v>
      </c>
      <c r="I218">
        <v>1.3970970043325917</v>
      </c>
      <c r="J218" s="2">
        <v>9008.0959999999995</v>
      </c>
      <c r="K218" s="6">
        <v>1.3831093546419599</v>
      </c>
      <c r="L218">
        <v>5.7</v>
      </c>
      <c r="M218">
        <v>1.2250000000000001</v>
      </c>
      <c r="N218">
        <f t="shared" si="3"/>
        <v>167.91438434920849</v>
      </c>
      <c r="O218" s="5">
        <v>1.7333333333333334</v>
      </c>
      <c r="P218">
        <v>33.799999999999997</v>
      </c>
      <c r="Q218">
        <v>136105</v>
      </c>
      <c r="R218">
        <v>216664</v>
      </c>
      <c r="T218" s="1"/>
    </row>
    <row r="219" spans="1:20" x14ac:dyDescent="0.2">
      <c r="A219" t="s">
        <v>220</v>
      </c>
      <c r="B219" s="2">
        <v>13478.152</v>
      </c>
      <c r="C219" s="2">
        <v>80.647999999999996</v>
      </c>
      <c r="D219" s="1">
        <v>62.766666666666666</v>
      </c>
      <c r="E219" s="2">
        <v>2206.375</v>
      </c>
      <c r="F219" s="3">
        <v>287574</v>
      </c>
      <c r="G219" s="4">
        <v>86.676165797569297</v>
      </c>
      <c r="H219" s="5">
        <v>14.886666666666667</v>
      </c>
      <c r="I219">
        <v>1.0204305798852191</v>
      </c>
      <c r="J219" s="2">
        <v>9054.348</v>
      </c>
      <c r="K219" s="6">
        <v>1.3656963264964801</v>
      </c>
      <c r="L219">
        <v>5.833333333333333</v>
      </c>
      <c r="M219">
        <v>0.45</v>
      </c>
      <c r="N219">
        <f t="shared" si="3"/>
        <v>168.10328803160135</v>
      </c>
      <c r="O219" s="5">
        <v>1.75</v>
      </c>
      <c r="P219">
        <v>33.9</v>
      </c>
      <c r="Q219">
        <v>136360</v>
      </c>
      <c r="R219">
        <v>217204</v>
      </c>
      <c r="T219" s="1"/>
    </row>
    <row r="220" spans="1:20" x14ac:dyDescent="0.2">
      <c r="A220" t="s">
        <v>221</v>
      </c>
      <c r="B220" s="2">
        <v>13538.072</v>
      </c>
      <c r="C220" s="2">
        <v>81.040999999999997</v>
      </c>
      <c r="D220" s="1">
        <v>62.8</v>
      </c>
      <c r="E220" s="2">
        <v>2203.1089999999999</v>
      </c>
      <c r="F220" s="3">
        <v>288303</v>
      </c>
      <c r="G220" s="4">
        <v>86.629795551984401</v>
      </c>
      <c r="H220" s="5">
        <v>15.02</v>
      </c>
      <c r="I220">
        <v>1.5850541639446361</v>
      </c>
      <c r="J220" s="2">
        <v>9119.9490000000005</v>
      </c>
      <c r="K220" s="6">
        <v>1.35044291068022</v>
      </c>
      <c r="L220">
        <v>5.7333333333333334</v>
      </c>
      <c r="M220">
        <v>0.375</v>
      </c>
      <c r="N220">
        <f t="shared" si="3"/>
        <v>168.26088486413099</v>
      </c>
      <c r="O220" s="5">
        <v>1.74</v>
      </c>
      <c r="P220">
        <v>33.9</v>
      </c>
      <c r="Q220">
        <v>136807</v>
      </c>
      <c r="R220">
        <v>217868</v>
      </c>
      <c r="T220" s="1"/>
    </row>
    <row r="221" spans="1:20" x14ac:dyDescent="0.2">
      <c r="A221" t="s">
        <v>222</v>
      </c>
      <c r="B221" s="2">
        <v>13559.031999999999</v>
      </c>
      <c r="C221" s="2">
        <v>81.415999999999997</v>
      </c>
      <c r="D221" s="1">
        <v>62.533333333333331</v>
      </c>
      <c r="E221" s="2">
        <v>2201.7489999999998</v>
      </c>
      <c r="F221" s="3">
        <v>289007</v>
      </c>
      <c r="G221" s="4">
        <v>86.157358881337302</v>
      </c>
      <c r="H221" s="5">
        <v>15.156666666666666</v>
      </c>
      <c r="I221">
        <v>1.1245793050798354</v>
      </c>
      <c r="J221" s="2">
        <v>9172.3610000000008</v>
      </c>
      <c r="K221" s="6">
        <v>1.3403447531721799</v>
      </c>
      <c r="L221">
        <v>5.8666666666666671</v>
      </c>
      <c r="M221">
        <v>2.5000000000000001E-2</v>
      </c>
      <c r="N221">
        <f t="shared" si="3"/>
        <v>168.27140116943499</v>
      </c>
      <c r="O221" s="5">
        <v>1.4433333333333334</v>
      </c>
      <c r="P221">
        <v>33.799999999999997</v>
      </c>
      <c r="Q221">
        <v>136652</v>
      </c>
      <c r="R221">
        <v>218543</v>
      </c>
      <c r="T221" s="1"/>
    </row>
    <row r="222" spans="1:20" x14ac:dyDescent="0.2">
      <c r="A222" t="s">
        <v>223</v>
      </c>
      <c r="B222" s="2">
        <v>13634.253000000001</v>
      </c>
      <c r="C222" s="2">
        <v>81.99</v>
      </c>
      <c r="D222" s="1">
        <v>62.466666666666669</v>
      </c>
      <c r="E222" s="2">
        <v>2218.6849999999999</v>
      </c>
      <c r="F222" s="3">
        <v>289609</v>
      </c>
      <c r="G222" s="4">
        <v>85.887122230913903</v>
      </c>
      <c r="H222" s="5">
        <v>15.256666666666666</v>
      </c>
      <c r="I222">
        <v>1.0589408572308132</v>
      </c>
      <c r="J222" s="2">
        <v>9215.5010000000002</v>
      </c>
      <c r="K222" s="6">
        <v>1.32078692591703</v>
      </c>
      <c r="L222">
        <v>5.8666666666666671</v>
      </c>
      <c r="M222">
        <v>0.45</v>
      </c>
      <c r="N222">
        <f t="shared" si="3"/>
        <v>168.46070649575063</v>
      </c>
      <c r="O222" s="5">
        <v>1.25</v>
      </c>
      <c r="P222">
        <v>33.700000000000003</v>
      </c>
      <c r="Q222">
        <v>137444</v>
      </c>
      <c r="R222">
        <v>220109</v>
      </c>
      <c r="T222" s="1"/>
    </row>
    <row r="223" spans="1:20" x14ac:dyDescent="0.2">
      <c r="A223" t="s">
        <v>224</v>
      </c>
      <c r="B223" s="2">
        <v>13751.543</v>
      </c>
      <c r="C223" s="2">
        <v>82.010999999999996</v>
      </c>
      <c r="D223" s="1">
        <v>62.333333333333336</v>
      </c>
      <c r="E223" s="2">
        <v>2233.9969999999998</v>
      </c>
      <c r="F223" s="3">
        <v>290253</v>
      </c>
      <c r="G223" s="4">
        <v>85.767056647281606</v>
      </c>
      <c r="H223" s="5">
        <v>15.323333333333334</v>
      </c>
      <c r="I223">
        <v>1.1003859192231813</v>
      </c>
      <c r="J223" s="2">
        <v>9318.9940000000006</v>
      </c>
      <c r="K223" s="6">
        <v>1.3091182877911001</v>
      </c>
      <c r="L223">
        <v>6.1333333333333329</v>
      </c>
      <c r="M223">
        <v>1.05</v>
      </c>
      <c r="N223">
        <f t="shared" si="3"/>
        <v>168.90291585030198</v>
      </c>
      <c r="O223" s="5">
        <v>1.2466666666666666</v>
      </c>
      <c r="P223">
        <v>33.6</v>
      </c>
      <c r="Q223">
        <v>137656</v>
      </c>
      <c r="R223">
        <v>220774</v>
      </c>
      <c r="T223" s="1"/>
    </row>
    <row r="224" spans="1:20" x14ac:dyDescent="0.2">
      <c r="A224" t="s">
        <v>225</v>
      </c>
      <c r="B224" s="2">
        <v>13985.073</v>
      </c>
      <c r="C224" s="2">
        <v>82.516999999999996</v>
      </c>
      <c r="D224" s="1">
        <v>62.06666666666667</v>
      </c>
      <c r="E224" s="2">
        <v>2315.3989999999999</v>
      </c>
      <c r="F224" s="3">
        <v>290974</v>
      </c>
      <c r="G224" s="4">
        <v>85.7102335830768</v>
      </c>
      <c r="H224" s="5">
        <v>15.41</v>
      </c>
      <c r="I224">
        <v>0.85558646888159462</v>
      </c>
      <c r="J224" s="2">
        <v>9455.6869999999999</v>
      </c>
      <c r="K224" s="6">
        <v>1.29115040594627</v>
      </c>
      <c r="L224">
        <v>6.1333333333333329</v>
      </c>
      <c r="M224">
        <v>2.4249999999999998</v>
      </c>
      <c r="N224">
        <f t="shared" si="3"/>
        <v>169.92688977764445</v>
      </c>
      <c r="O224" s="5">
        <v>1.0166666666666666</v>
      </c>
      <c r="P224">
        <v>33.6</v>
      </c>
      <c r="Q224">
        <v>137544</v>
      </c>
      <c r="R224">
        <v>221513</v>
      </c>
      <c r="T224" s="1"/>
    </row>
    <row r="225" spans="1:20" x14ac:dyDescent="0.2">
      <c r="A225" t="s">
        <v>226</v>
      </c>
      <c r="B225" s="2">
        <v>14145.645</v>
      </c>
      <c r="C225" s="2">
        <v>82.894999999999996</v>
      </c>
      <c r="D225" s="1">
        <v>62.2</v>
      </c>
      <c r="E225" s="2">
        <v>2393.402</v>
      </c>
      <c r="F225" s="3">
        <v>291669</v>
      </c>
      <c r="G225" s="4">
        <v>86.076414763816999</v>
      </c>
      <c r="H225" s="5">
        <v>15.456666666666667</v>
      </c>
      <c r="I225">
        <v>0.74009550477911201</v>
      </c>
      <c r="J225" s="2">
        <v>9519.8019999999997</v>
      </c>
      <c r="K225" s="6">
        <v>1.28229632916752</v>
      </c>
      <c r="L225">
        <v>5.833333333333333</v>
      </c>
      <c r="M225">
        <v>1.45</v>
      </c>
      <c r="N225">
        <f t="shared" si="3"/>
        <v>170.5428747530884</v>
      </c>
      <c r="O225" s="5">
        <v>0.9966666666666667</v>
      </c>
      <c r="P225">
        <v>33.700000000000003</v>
      </c>
      <c r="Q225">
        <v>138273</v>
      </c>
      <c r="R225">
        <v>222276</v>
      </c>
      <c r="T225" s="1"/>
    </row>
    <row r="226" spans="1:20" x14ac:dyDescent="0.2">
      <c r="A226" t="s">
        <v>227</v>
      </c>
      <c r="B226" s="2">
        <v>14221.147000000001</v>
      </c>
      <c r="C226" s="2">
        <v>83.582999999999998</v>
      </c>
      <c r="D226" s="1">
        <v>62.266666666666666</v>
      </c>
      <c r="E226" s="2">
        <v>2398.1509999999998</v>
      </c>
      <c r="F226" s="3">
        <v>292237</v>
      </c>
      <c r="G226" s="4">
        <v>86.185788903460704</v>
      </c>
      <c r="H226" s="5">
        <v>15.533333333333333</v>
      </c>
      <c r="I226">
        <v>0.90794365771806484</v>
      </c>
      <c r="J226" s="2">
        <v>9604.5069999999996</v>
      </c>
      <c r="K226" s="6">
        <v>1.2769150889690299</v>
      </c>
      <c r="L226">
        <v>5.7</v>
      </c>
      <c r="M226">
        <v>0.17499999999999999</v>
      </c>
      <c r="N226">
        <f t="shared" si="3"/>
        <v>170.6174872607929</v>
      </c>
      <c r="O226" s="5">
        <v>1.0033333333333334</v>
      </c>
      <c r="P226">
        <v>33.700000000000003</v>
      </c>
      <c r="Q226">
        <v>138489</v>
      </c>
      <c r="R226">
        <v>222356</v>
      </c>
      <c r="T226" s="1"/>
    </row>
    <row r="227" spans="1:20" x14ac:dyDescent="0.2">
      <c r="A227" t="s">
        <v>228</v>
      </c>
      <c r="B227" s="2">
        <v>14329.522999999999</v>
      </c>
      <c r="C227" s="2">
        <v>84.155000000000001</v>
      </c>
      <c r="D227" s="1">
        <v>62.333333333333336</v>
      </c>
      <c r="E227" s="2">
        <v>2493.9450000000002</v>
      </c>
      <c r="F227" s="3">
        <v>292875</v>
      </c>
      <c r="G227" s="4">
        <v>86.302973664619799</v>
      </c>
      <c r="H227" s="5">
        <v>15.63</v>
      </c>
      <c r="I227">
        <v>1.3248040514663857</v>
      </c>
      <c r="J227" s="2">
        <v>9664.2639999999992</v>
      </c>
      <c r="K227" s="6">
        <v>1.2741425767385399</v>
      </c>
      <c r="L227">
        <v>5.5999999999999988</v>
      </c>
      <c r="M227">
        <v>1.125</v>
      </c>
      <c r="N227">
        <f t="shared" si="3"/>
        <v>171.09734894371391</v>
      </c>
      <c r="O227" s="5">
        <v>1.01</v>
      </c>
      <c r="P227">
        <v>33.700000000000003</v>
      </c>
      <c r="Q227">
        <v>138902</v>
      </c>
      <c r="R227">
        <v>222973</v>
      </c>
      <c r="T227" s="1"/>
    </row>
    <row r="228" spans="1:20" x14ac:dyDescent="0.2">
      <c r="A228" t="s">
        <v>229</v>
      </c>
      <c r="B228" s="2">
        <v>14464.984</v>
      </c>
      <c r="C228" s="2">
        <v>84.578999999999994</v>
      </c>
      <c r="D228" s="1">
        <v>62.4</v>
      </c>
      <c r="E228" s="2">
        <v>2532.6350000000002</v>
      </c>
      <c r="F228" s="3">
        <v>293603</v>
      </c>
      <c r="G228" s="4">
        <v>86.477808630393895</v>
      </c>
      <c r="H228" s="5">
        <v>15.733333333333333</v>
      </c>
      <c r="I228">
        <v>1.9264559339897347</v>
      </c>
      <c r="J228" s="2">
        <v>9771.1360000000004</v>
      </c>
      <c r="K228" s="6">
        <v>1.2678051736289</v>
      </c>
      <c r="L228">
        <v>5.4333333333333336</v>
      </c>
      <c r="M228">
        <v>1.075</v>
      </c>
      <c r="N228">
        <f t="shared" si="3"/>
        <v>171.55717306900013</v>
      </c>
      <c r="O228" s="5">
        <v>1.4333333333333333</v>
      </c>
      <c r="P228">
        <v>33.700000000000003</v>
      </c>
      <c r="Q228">
        <v>139539</v>
      </c>
      <c r="R228">
        <v>223680</v>
      </c>
      <c r="T228" s="1"/>
    </row>
    <row r="229" spans="1:20" x14ac:dyDescent="0.2">
      <c r="A229" t="s">
        <v>230</v>
      </c>
      <c r="B229" s="2">
        <v>14609.876</v>
      </c>
      <c r="C229" s="2">
        <v>85.301000000000002</v>
      </c>
      <c r="D229" s="1">
        <v>62.4</v>
      </c>
      <c r="E229" s="2">
        <v>2585.4769999999999</v>
      </c>
      <c r="F229" s="3">
        <v>294334</v>
      </c>
      <c r="G229" s="4">
        <v>86.401875348447405</v>
      </c>
      <c r="H229" s="5">
        <v>15.836666666666666</v>
      </c>
      <c r="I229">
        <v>2.5348799388328516</v>
      </c>
      <c r="J229" s="2">
        <v>9877.4159999999993</v>
      </c>
      <c r="K229" s="6">
        <v>1.26264424148319</v>
      </c>
      <c r="L229">
        <v>5.4333333333333336</v>
      </c>
      <c r="M229">
        <v>1.05</v>
      </c>
      <c r="N229">
        <f t="shared" si="3"/>
        <v>172.00751064830627</v>
      </c>
      <c r="O229" s="5">
        <v>1.95</v>
      </c>
      <c r="P229">
        <v>33.799999999999997</v>
      </c>
      <c r="Q229">
        <v>140029</v>
      </c>
      <c r="R229">
        <v>224418</v>
      </c>
      <c r="T229" s="1"/>
    </row>
    <row r="230" spans="1:20" x14ac:dyDescent="0.2">
      <c r="A230" t="s">
        <v>231</v>
      </c>
      <c r="B230" s="2">
        <v>14771.602000000001</v>
      </c>
      <c r="C230" s="2">
        <v>85.787000000000006</v>
      </c>
      <c r="D230" s="1">
        <v>62.4</v>
      </c>
      <c r="E230" s="2">
        <v>2658.163</v>
      </c>
      <c r="F230" s="3">
        <v>294957</v>
      </c>
      <c r="G230" s="4">
        <v>86.586158581810807</v>
      </c>
      <c r="H230" s="5">
        <v>15.933333333333334</v>
      </c>
      <c r="I230">
        <v>2.9634440455374262</v>
      </c>
      <c r="J230" s="2">
        <v>9935.0480000000007</v>
      </c>
      <c r="K230" s="6">
        <v>1.25961368039498</v>
      </c>
      <c r="L230">
        <v>5.3</v>
      </c>
      <c r="M230">
        <v>1.375</v>
      </c>
      <c r="N230">
        <f t="shared" si="3"/>
        <v>172.59878646615982</v>
      </c>
      <c r="O230" s="5">
        <v>2.4700000000000002</v>
      </c>
      <c r="P230">
        <v>33.700000000000003</v>
      </c>
      <c r="Q230">
        <v>140428</v>
      </c>
      <c r="R230">
        <v>225038</v>
      </c>
      <c r="T230" s="1"/>
    </row>
    <row r="231" spans="1:20" x14ac:dyDescent="0.2">
      <c r="A231" t="s">
        <v>232</v>
      </c>
      <c r="B231" s="2">
        <v>14839.781999999999</v>
      </c>
      <c r="C231" s="2">
        <v>86.302000000000007</v>
      </c>
      <c r="D231" s="1">
        <v>62.733333333333334</v>
      </c>
      <c r="E231" s="2">
        <v>2622.7930000000001</v>
      </c>
      <c r="F231" s="3">
        <v>295588</v>
      </c>
      <c r="G231" s="4">
        <v>86.996761530303601</v>
      </c>
      <c r="H231" s="5">
        <v>16.04</v>
      </c>
      <c r="I231">
        <v>3.3173945986289768</v>
      </c>
      <c r="J231" s="2">
        <v>10047.766</v>
      </c>
      <c r="K231" s="6">
        <v>1.25580860021107</v>
      </c>
      <c r="L231">
        <v>5.1000000000000005</v>
      </c>
      <c r="M231">
        <v>0.375</v>
      </c>
      <c r="N231">
        <f t="shared" si="3"/>
        <v>172.76059782847184</v>
      </c>
      <c r="O231" s="5">
        <v>2.9433333333333334</v>
      </c>
      <c r="P231">
        <v>33.700000000000003</v>
      </c>
      <c r="Q231">
        <v>141526</v>
      </c>
      <c r="R231">
        <v>225674</v>
      </c>
      <c r="T231" s="1"/>
    </row>
    <row r="232" spans="1:20" x14ac:dyDescent="0.2">
      <c r="A232" t="s">
        <v>233</v>
      </c>
      <c r="B232" s="2">
        <v>14972.054</v>
      </c>
      <c r="C232" s="2">
        <v>87.224999999999994</v>
      </c>
      <c r="D232" s="1">
        <v>62.833333333333336</v>
      </c>
      <c r="E232" s="2">
        <v>2657.4580000000001</v>
      </c>
      <c r="F232" s="3">
        <v>296340</v>
      </c>
      <c r="G232" s="4">
        <v>87.170510873620799</v>
      </c>
      <c r="H232" s="5">
        <v>16.170000000000002</v>
      </c>
      <c r="I232">
        <v>4.1378669486416255</v>
      </c>
      <c r="J232" s="2">
        <v>10145.297</v>
      </c>
      <c r="K232" s="6">
        <v>1.2437733849656001</v>
      </c>
      <c r="L232">
        <v>4.9666666666666668</v>
      </c>
      <c r="M232">
        <v>0.95</v>
      </c>
      <c r="N232">
        <f t="shared" si="3"/>
        <v>173.17090424831446</v>
      </c>
      <c r="O232" s="5">
        <v>3.46</v>
      </c>
      <c r="P232">
        <v>33.700000000000003</v>
      </c>
      <c r="Q232">
        <v>142287</v>
      </c>
      <c r="R232">
        <v>226422</v>
      </c>
      <c r="T232" s="1"/>
    </row>
    <row r="233" spans="1:20" x14ac:dyDescent="0.2">
      <c r="A233" t="s">
        <v>234</v>
      </c>
      <c r="B233" s="2">
        <v>15066.597</v>
      </c>
      <c r="C233" s="2">
        <v>87.906999999999996</v>
      </c>
      <c r="D233" s="1">
        <v>62.766666666666666</v>
      </c>
      <c r="E233" s="2">
        <v>2743.846</v>
      </c>
      <c r="F233" s="3">
        <v>297086</v>
      </c>
      <c r="G233" s="4">
        <v>86.948738397409102</v>
      </c>
      <c r="H233" s="5">
        <v>16.309999999999999</v>
      </c>
      <c r="I233">
        <v>4.3629887487007366</v>
      </c>
      <c r="J233" s="2">
        <v>10175.424000000001</v>
      </c>
      <c r="K233" s="6">
        <v>1.2389883375895501</v>
      </c>
      <c r="L233">
        <v>4.9666666666666668</v>
      </c>
      <c r="M233">
        <v>0.7</v>
      </c>
      <c r="N233">
        <f t="shared" si="3"/>
        <v>173.473953330749</v>
      </c>
      <c r="O233" s="5">
        <v>3.98</v>
      </c>
      <c r="P233">
        <v>33.799999999999997</v>
      </c>
      <c r="Q233">
        <v>142600</v>
      </c>
      <c r="R233">
        <v>227196</v>
      </c>
      <c r="T233" s="1"/>
    </row>
    <row r="234" spans="1:20" x14ac:dyDescent="0.2">
      <c r="A234" t="s">
        <v>235</v>
      </c>
      <c r="B234" s="2">
        <v>15267.026</v>
      </c>
      <c r="C234" s="2">
        <v>88.353999999999999</v>
      </c>
      <c r="D234" s="1">
        <v>63</v>
      </c>
      <c r="E234" s="2">
        <v>2784.5830000000001</v>
      </c>
      <c r="F234" s="3">
        <v>297736</v>
      </c>
      <c r="G234" s="4">
        <v>87.035303436719303</v>
      </c>
      <c r="H234" s="5">
        <v>16.48</v>
      </c>
      <c r="I234">
        <v>4.7659006139767222</v>
      </c>
      <c r="J234" s="2">
        <v>10288.892</v>
      </c>
      <c r="K234" s="6">
        <v>1.2355925118346101</v>
      </c>
      <c r="L234">
        <v>4.7333333333333334</v>
      </c>
      <c r="M234">
        <v>1.8</v>
      </c>
      <c r="N234">
        <f t="shared" si="3"/>
        <v>174.25458612073737</v>
      </c>
      <c r="O234" s="5">
        <v>4.456666666666667</v>
      </c>
      <c r="P234">
        <v>33.799999999999997</v>
      </c>
      <c r="Q234">
        <v>143449</v>
      </c>
      <c r="R234">
        <v>227764</v>
      </c>
      <c r="T234" s="1"/>
    </row>
    <row r="235" spans="1:20" x14ac:dyDescent="0.2">
      <c r="A235" t="s">
        <v>236</v>
      </c>
      <c r="B235" s="2">
        <v>15302.705</v>
      </c>
      <c r="C235" s="2">
        <v>89.064999999999998</v>
      </c>
      <c r="D235" s="1">
        <v>63.06666666666667</v>
      </c>
      <c r="E235" s="2">
        <v>2766.6280000000002</v>
      </c>
      <c r="F235" s="3">
        <v>298408</v>
      </c>
      <c r="G235" s="4">
        <v>87.185116684579299</v>
      </c>
      <c r="H235" s="5">
        <v>16.666666666666668</v>
      </c>
      <c r="I235">
        <v>5.2625752369177041</v>
      </c>
      <c r="J235" s="2">
        <v>10341.016</v>
      </c>
      <c r="K235" s="6">
        <v>1.22425306494479</v>
      </c>
      <c r="L235">
        <v>4.6333333333333337</v>
      </c>
      <c r="M235">
        <v>0.15</v>
      </c>
      <c r="N235">
        <f t="shared" si="3"/>
        <v>174.31993159053266</v>
      </c>
      <c r="O235" s="5">
        <v>4.9066666666666663</v>
      </c>
      <c r="P235">
        <v>33.9</v>
      </c>
      <c r="Q235">
        <v>144068</v>
      </c>
      <c r="R235">
        <v>228433</v>
      </c>
      <c r="T235" s="1"/>
    </row>
    <row r="236" spans="1:20" x14ac:dyDescent="0.2">
      <c r="A236" t="s">
        <v>237</v>
      </c>
      <c r="B236" s="2">
        <v>15326.368</v>
      </c>
      <c r="C236" s="2">
        <v>89.707999999999998</v>
      </c>
      <c r="D236" s="1">
        <v>63.06666666666667</v>
      </c>
      <c r="E236" s="2">
        <v>2755.9540000000002</v>
      </c>
      <c r="F236" s="3">
        <v>299180</v>
      </c>
      <c r="G236" s="4">
        <v>87.293124549975403</v>
      </c>
      <c r="H236" s="5">
        <v>16.82</v>
      </c>
      <c r="I236">
        <v>5.1540191950283667</v>
      </c>
      <c r="J236" s="2">
        <v>10403.798000000001</v>
      </c>
      <c r="K236" s="6">
        <v>1.21443845612985</v>
      </c>
      <c r="L236">
        <v>4.6333333333333337</v>
      </c>
      <c r="M236">
        <v>0.17499999999999999</v>
      </c>
      <c r="N236">
        <f t="shared" si="3"/>
        <v>174.39619656060353</v>
      </c>
      <c r="O236" s="5">
        <v>5.246666666666667</v>
      </c>
      <c r="P236">
        <v>33.799999999999997</v>
      </c>
      <c r="Q236">
        <v>144547</v>
      </c>
      <c r="R236">
        <v>229166</v>
      </c>
      <c r="T236" s="1"/>
    </row>
    <row r="237" spans="1:20" x14ac:dyDescent="0.2">
      <c r="A237" t="s">
        <v>238</v>
      </c>
      <c r="B237" s="2">
        <v>15456.928</v>
      </c>
      <c r="C237" s="2">
        <v>89.557000000000002</v>
      </c>
      <c r="D237" s="1">
        <v>63.333333333333336</v>
      </c>
      <c r="E237" s="2">
        <v>2702.4870000000001</v>
      </c>
      <c r="F237" s="3">
        <v>299946</v>
      </c>
      <c r="G237" s="4">
        <v>87.756916893267402</v>
      </c>
      <c r="H237" s="5">
        <v>16.98</v>
      </c>
      <c r="I237">
        <v>5.16808265104887</v>
      </c>
      <c r="J237" s="2">
        <v>10504.481</v>
      </c>
      <c r="K237" s="6">
        <v>1.2177377653819601</v>
      </c>
      <c r="L237">
        <v>4.4333333333333336</v>
      </c>
      <c r="M237">
        <v>1.125</v>
      </c>
      <c r="N237">
        <f t="shared" si="3"/>
        <v>174.88668586343024</v>
      </c>
      <c r="O237" s="5">
        <v>5.246666666666667</v>
      </c>
      <c r="P237">
        <v>33.9</v>
      </c>
      <c r="Q237">
        <v>145606</v>
      </c>
      <c r="R237">
        <v>229896</v>
      </c>
      <c r="T237" s="1"/>
    </row>
    <row r="238" spans="1:20" x14ac:dyDescent="0.2">
      <c r="A238" t="s">
        <v>239</v>
      </c>
      <c r="B238" s="2">
        <v>15493.328</v>
      </c>
      <c r="C238" s="2">
        <v>90.402000000000001</v>
      </c>
      <c r="D238" s="1">
        <v>63.3</v>
      </c>
      <c r="E238" s="2">
        <v>2683.893</v>
      </c>
      <c r="F238" s="3">
        <v>300609</v>
      </c>
      <c r="G238" s="4">
        <v>87.658892469157607</v>
      </c>
      <c r="H238" s="5">
        <v>17.153333333333332</v>
      </c>
      <c r="I238">
        <v>5.1754185724067803</v>
      </c>
      <c r="J238" s="2">
        <v>10563.261</v>
      </c>
      <c r="K238" s="6">
        <v>1.20453898937368</v>
      </c>
      <c r="L238">
        <v>4.5</v>
      </c>
      <c r="M238">
        <v>0.3</v>
      </c>
      <c r="N238">
        <f t="shared" si="3"/>
        <v>175.01785087782781</v>
      </c>
      <c r="O238" s="5">
        <v>5.2566666666666668</v>
      </c>
      <c r="P238">
        <v>33.799999999999997</v>
      </c>
      <c r="Q238">
        <v>146135</v>
      </c>
      <c r="R238">
        <v>230839</v>
      </c>
      <c r="T238" s="1"/>
    </row>
    <row r="239" spans="1:20" x14ac:dyDescent="0.2">
      <c r="A239" t="s">
        <v>240</v>
      </c>
      <c r="B239" s="2">
        <v>15582.084999999999</v>
      </c>
      <c r="C239" s="2">
        <v>91.135999999999996</v>
      </c>
      <c r="D239" s="1">
        <v>63</v>
      </c>
      <c r="E239" s="2">
        <v>2713.4949999999999</v>
      </c>
      <c r="F239" s="3">
        <v>301284</v>
      </c>
      <c r="G239" s="4">
        <v>87.688230827135499</v>
      </c>
      <c r="H239" s="5">
        <v>17.34</v>
      </c>
      <c r="I239">
        <v>5.0067699635813696</v>
      </c>
      <c r="J239" s="2">
        <v>10582.839</v>
      </c>
      <c r="K239" s="6">
        <v>1.1888826569249999</v>
      </c>
      <c r="L239">
        <v>4.5</v>
      </c>
      <c r="M239">
        <v>0.8</v>
      </c>
      <c r="N239">
        <f t="shared" si="3"/>
        <v>175.36788657958346</v>
      </c>
      <c r="O239" s="5">
        <v>5.25</v>
      </c>
      <c r="P239">
        <v>33.799999999999997</v>
      </c>
      <c r="Q239">
        <v>145851</v>
      </c>
      <c r="R239">
        <v>231482</v>
      </c>
      <c r="T239" s="1"/>
    </row>
    <row r="240" spans="1:20" x14ac:dyDescent="0.2">
      <c r="A240" t="s">
        <v>241</v>
      </c>
      <c r="B240" s="2">
        <v>15666.737999999999</v>
      </c>
      <c r="C240" s="2">
        <v>91.65</v>
      </c>
      <c r="D240" s="1">
        <v>62.833333333333336</v>
      </c>
      <c r="E240" s="2">
        <v>2686.1060000000002</v>
      </c>
      <c r="F240" s="3">
        <v>302062</v>
      </c>
      <c r="G240" s="4">
        <v>87.364886498253995</v>
      </c>
      <c r="H240" s="5">
        <v>17.506666666666668</v>
      </c>
      <c r="I240">
        <v>4.2914355138365252</v>
      </c>
      <c r="J240" s="2">
        <v>10642.483</v>
      </c>
      <c r="K240" s="6">
        <v>1.17524167569442</v>
      </c>
      <c r="L240">
        <v>4.666666666666667</v>
      </c>
      <c r="M240">
        <v>0.65</v>
      </c>
      <c r="N240">
        <f t="shared" si="3"/>
        <v>175.65285939527527</v>
      </c>
      <c r="O240" s="5">
        <v>5.0733333333333333</v>
      </c>
      <c r="P240">
        <v>33.799999999999997</v>
      </c>
      <c r="Q240">
        <v>145944</v>
      </c>
      <c r="R240">
        <v>232210</v>
      </c>
      <c r="T240" s="1"/>
    </row>
    <row r="241" spans="1:20" x14ac:dyDescent="0.2">
      <c r="A241" t="s">
        <v>242</v>
      </c>
      <c r="B241" s="2">
        <v>15761.967000000001</v>
      </c>
      <c r="C241" s="2">
        <v>92.551000000000002</v>
      </c>
      <c r="D241" s="1">
        <v>62.766666666666666</v>
      </c>
      <c r="E241" s="2">
        <v>2653.056</v>
      </c>
      <c r="F241" s="3">
        <v>302829</v>
      </c>
      <c r="G241" s="4">
        <v>87.337291102042499</v>
      </c>
      <c r="H241" s="5">
        <v>17.633333333333333</v>
      </c>
      <c r="I241">
        <v>3.6986543417776794</v>
      </c>
      <c r="J241" s="2">
        <v>10672.794</v>
      </c>
      <c r="K241" s="6">
        <v>1.15723731018853</v>
      </c>
      <c r="L241">
        <v>4.8</v>
      </c>
      <c r="M241">
        <v>0.47499999999999998</v>
      </c>
      <c r="N241">
        <f t="shared" si="3"/>
        <v>175.86144716580714</v>
      </c>
      <c r="O241" s="5">
        <v>4.496666666666667</v>
      </c>
      <c r="P241">
        <v>33.799999999999997</v>
      </c>
      <c r="Q241">
        <v>146271</v>
      </c>
      <c r="R241">
        <v>232937</v>
      </c>
      <c r="T241" s="1"/>
    </row>
    <row r="242" spans="1:20" x14ac:dyDescent="0.2">
      <c r="A242" t="s">
        <v>243</v>
      </c>
      <c r="B242" s="2">
        <v>15671.383</v>
      </c>
      <c r="C242" s="2">
        <v>93.328000000000003</v>
      </c>
      <c r="D242" s="1">
        <v>62.8</v>
      </c>
      <c r="E242" s="2">
        <v>2583.2530000000002</v>
      </c>
      <c r="F242" s="3">
        <v>303494</v>
      </c>
      <c r="G242" s="4">
        <v>86.973286437004106</v>
      </c>
      <c r="H242" s="5">
        <v>17.803333333333335</v>
      </c>
      <c r="I242">
        <v>1.8745286260057679</v>
      </c>
      <c r="J242" s="2">
        <v>10644.429</v>
      </c>
      <c r="K242" s="6">
        <v>1.14462404157465</v>
      </c>
      <c r="L242">
        <v>5</v>
      </c>
      <c r="M242">
        <v>-0.92500000000000004</v>
      </c>
      <c r="N242">
        <f t="shared" si="3"/>
        <v>175.4547675692362</v>
      </c>
      <c r="O242" s="5">
        <v>3.1766666666666667</v>
      </c>
      <c r="P242">
        <v>33.700000000000003</v>
      </c>
      <c r="Q242">
        <v>146207</v>
      </c>
      <c r="R242">
        <v>232807</v>
      </c>
      <c r="T242" s="1"/>
    </row>
    <row r="243" spans="1:20" x14ac:dyDescent="0.2">
      <c r="A243" t="s">
        <v>244</v>
      </c>
      <c r="B243" s="2">
        <v>15752.308000000001</v>
      </c>
      <c r="C243" s="2">
        <v>94.289000000000001</v>
      </c>
      <c r="D243" s="1">
        <v>62.533333333333331</v>
      </c>
      <c r="E243" s="2">
        <v>2536.4029999999998</v>
      </c>
      <c r="F243" s="3">
        <v>304160</v>
      </c>
      <c r="G243" s="4">
        <v>86.449890107282897</v>
      </c>
      <c r="H243" s="5">
        <v>17.976666666666667</v>
      </c>
      <c r="I243">
        <v>2.0540120740171011</v>
      </c>
      <c r="J243" s="2">
        <v>10661.689</v>
      </c>
      <c r="K243" s="6">
        <v>1.1276051434841401</v>
      </c>
      <c r="L243">
        <v>5.333333333333333</v>
      </c>
      <c r="M243">
        <v>0.52500000000000002</v>
      </c>
      <c r="N243">
        <f t="shared" si="3"/>
        <v>175.68505195167083</v>
      </c>
      <c r="O243" s="5">
        <v>2.0866666666666669</v>
      </c>
      <c r="P243">
        <v>33.700000000000003</v>
      </c>
      <c r="Q243">
        <v>145926</v>
      </c>
      <c r="R243">
        <v>233410</v>
      </c>
      <c r="T243" s="1"/>
    </row>
    <row r="244" spans="1:20" x14ac:dyDescent="0.2">
      <c r="A244" t="s">
        <v>245</v>
      </c>
      <c r="B244" s="2">
        <v>15667.031999999999</v>
      </c>
      <c r="C244" s="2">
        <v>95.266000000000005</v>
      </c>
      <c r="D244" s="1">
        <v>62.033333333333331</v>
      </c>
      <c r="E244" s="2">
        <v>2485.549</v>
      </c>
      <c r="F244" s="3">
        <v>304902</v>
      </c>
      <c r="G244" s="4">
        <v>85.853269088919404</v>
      </c>
      <c r="H244" s="5">
        <v>18.16</v>
      </c>
      <c r="I244">
        <v>1.9113042617012801</v>
      </c>
      <c r="J244" s="2">
        <v>10581.856</v>
      </c>
      <c r="K244" s="6">
        <v>1.11512283341376</v>
      </c>
      <c r="L244">
        <v>6</v>
      </c>
      <c r="M244">
        <v>-0.85</v>
      </c>
      <c r="N244">
        <f t="shared" si="3"/>
        <v>175.31172121627353</v>
      </c>
      <c r="O244" s="5">
        <v>1.94</v>
      </c>
      <c r="P244">
        <v>33.6</v>
      </c>
      <c r="Q244">
        <v>145270</v>
      </c>
      <c r="R244">
        <v>234110</v>
      </c>
      <c r="T244" s="1"/>
    </row>
    <row r="245" spans="1:20" x14ac:dyDescent="0.2">
      <c r="A245" t="s">
        <v>246</v>
      </c>
      <c r="B245" s="2">
        <v>15328.027</v>
      </c>
      <c r="C245" s="2">
        <v>93.837000000000003</v>
      </c>
      <c r="D245" s="1">
        <v>61.366666666666667</v>
      </c>
      <c r="E245" s="2">
        <v>2246.4409999999998</v>
      </c>
      <c r="F245" s="3">
        <v>305616</v>
      </c>
      <c r="G245" s="4">
        <v>84.702938224543999</v>
      </c>
      <c r="H245" s="5">
        <v>18.313333333333333</v>
      </c>
      <c r="I245">
        <v>0.64973096376024397</v>
      </c>
      <c r="J245" s="2">
        <v>10483.376</v>
      </c>
      <c r="K245" s="6">
        <v>1.1368495361411599</v>
      </c>
      <c r="L245">
        <v>6.8666666666666671</v>
      </c>
      <c r="M245">
        <v>-2.9249999999999998</v>
      </c>
      <c r="N245">
        <f t="shared" si="3"/>
        <v>174.02975425487952</v>
      </c>
      <c r="O245" s="5">
        <v>0.50666666666666671</v>
      </c>
      <c r="P245">
        <v>33.4</v>
      </c>
      <c r="Q245">
        <v>144090</v>
      </c>
      <c r="R245">
        <v>234825</v>
      </c>
      <c r="T245" s="1"/>
    </row>
    <row r="246" spans="1:20" x14ac:dyDescent="0.2">
      <c r="A246" t="s">
        <v>247</v>
      </c>
      <c r="B246" s="2">
        <v>15155.94</v>
      </c>
      <c r="C246" s="2">
        <v>93.272999999999996</v>
      </c>
      <c r="D246" s="1">
        <v>60.266666666666666</v>
      </c>
      <c r="E246" s="2">
        <v>1986.845</v>
      </c>
      <c r="F246" s="3">
        <v>306237</v>
      </c>
      <c r="G246" s="4">
        <v>82.651723137356498</v>
      </c>
      <c r="H246" s="5">
        <v>18.446666666666665</v>
      </c>
      <c r="I246">
        <v>0.75024520113306226</v>
      </c>
      <c r="J246" s="2">
        <v>10459.698</v>
      </c>
      <c r="K246" s="6">
        <v>1.13456676749073</v>
      </c>
      <c r="L246">
        <v>8.2666666666666675</v>
      </c>
      <c r="M246">
        <v>-1.6</v>
      </c>
      <c r="N246">
        <f t="shared" si="3"/>
        <v>173.33363523785999</v>
      </c>
      <c r="O246" s="5">
        <v>0.18333333333333332</v>
      </c>
      <c r="P246">
        <v>33.200000000000003</v>
      </c>
      <c r="Q246">
        <v>141500</v>
      </c>
      <c r="R246">
        <v>234913</v>
      </c>
      <c r="T246" s="1"/>
    </row>
    <row r="247" spans="1:20" x14ac:dyDescent="0.2">
      <c r="A247" t="s">
        <v>248</v>
      </c>
      <c r="B247" s="2">
        <v>15134.117</v>
      </c>
      <c r="C247" s="2">
        <v>93.691999999999993</v>
      </c>
      <c r="D247" s="1">
        <v>59.6</v>
      </c>
      <c r="E247" s="2">
        <v>1872.287</v>
      </c>
      <c r="F247" s="3">
        <v>306866</v>
      </c>
      <c r="G247" s="4">
        <v>81.389786737488393</v>
      </c>
      <c r="H247" s="5">
        <v>18.536666666666665</v>
      </c>
      <c r="I247">
        <v>2.1533678694705571E-2</v>
      </c>
      <c r="J247" s="2">
        <v>10417.334000000001</v>
      </c>
      <c r="K247" s="6">
        <v>1.11586230383082</v>
      </c>
      <c r="L247">
        <v>9.2999999999999989</v>
      </c>
      <c r="M247">
        <v>-0.2</v>
      </c>
      <c r="N247">
        <f t="shared" si="3"/>
        <v>173.24696842024107</v>
      </c>
      <c r="O247" s="5">
        <v>0.18</v>
      </c>
      <c r="P247">
        <v>33</v>
      </c>
      <c r="Q247">
        <v>140304</v>
      </c>
      <c r="R247">
        <v>235459</v>
      </c>
      <c r="T247" s="1"/>
    </row>
    <row r="248" spans="1:20" x14ac:dyDescent="0.2">
      <c r="A248" t="s">
        <v>249</v>
      </c>
      <c r="B248" s="2">
        <v>15189.222</v>
      </c>
      <c r="C248" s="2">
        <v>94.338999999999999</v>
      </c>
      <c r="D248" s="1">
        <v>59.033333333333331</v>
      </c>
      <c r="E248" s="2">
        <v>1868.0129999999999</v>
      </c>
      <c r="F248" s="3">
        <v>307573</v>
      </c>
      <c r="G248" s="4">
        <v>80.938897299690893</v>
      </c>
      <c r="H248" s="5">
        <v>18.653333333333332</v>
      </c>
      <c r="I248">
        <v>-0.40604610799163332</v>
      </c>
      <c r="J248" s="2">
        <v>10489.201999999999</v>
      </c>
      <c r="K248" s="6">
        <v>1.09371675049757</v>
      </c>
      <c r="L248">
        <v>9.6333333333333346</v>
      </c>
      <c r="M248">
        <v>0.35</v>
      </c>
      <c r="N248">
        <f t="shared" si="3"/>
        <v>173.39855951760879</v>
      </c>
      <c r="O248" s="5">
        <v>0.15666666666666668</v>
      </c>
      <c r="P248">
        <v>33.1</v>
      </c>
      <c r="Q248">
        <v>139404</v>
      </c>
      <c r="R248">
        <v>236093</v>
      </c>
      <c r="T248" s="1"/>
    </row>
    <row r="249" spans="1:20" x14ac:dyDescent="0.2">
      <c r="A249" t="s">
        <v>250</v>
      </c>
      <c r="B249" s="2">
        <v>15356.058000000001</v>
      </c>
      <c r="C249" s="2">
        <v>95.067999999999998</v>
      </c>
      <c r="D249" s="1">
        <v>58.466666666666669</v>
      </c>
      <c r="E249" s="2">
        <v>2040.7360000000001</v>
      </c>
      <c r="F249" s="3">
        <v>308285</v>
      </c>
      <c r="G249" s="4">
        <v>80.717533912264798</v>
      </c>
      <c r="H249" s="5">
        <v>18.79</v>
      </c>
      <c r="I249">
        <v>-0.15397759190998173</v>
      </c>
      <c r="J249" s="2">
        <v>10473.645</v>
      </c>
      <c r="K249" s="6">
        <v>1.08249559561251</v>
      </c>
      <c r="L249">
        <v>9.9333333333333318</v>
      </c>
      <c r="M249">
        <v>1.35</v>
      </c>
      <c r="N249">
        <f t="shared" si="3"/>
        <v>173.9837796559807</v>
      </c>
      <c r="O249" s="5">
        <v>0.12</v>
      </c>
      <c r="P249">
        <v>33.200000000000003</v>
      </c>
      <c r="Q249">
        <v>138368</v>
      </c>
      <c r="R249">
        <v>236739</v>
      </c>
      <c r="T249" s="1"/>
    </row>
    <row r="250" spans="1:20" x14ac:dyDescent="0.2">
      <c r="A250" t="s">
        <v>251</v>
      </c>
      <c r="B250" s="2">
        <v>15415.145</v>
      </c>
      <c r="C250" s="2">
        <v>95.393000000000001</v>
      </c>
      <c r="D250" s="1">
        <v>58.5</v>
      </c>
      <c r="E250" s="2">
        <v>2087.1709999999998</v>
      </c>
      <c r="F250" s="3">
        <v>308901</v>
      </c>
      <c r="G250" s="4">
        <v>80.895042967065095</v>
      </c>
      <c r="H250" s="5">
        <v>18.899999999999999</v>
      </c>
      <c r="I250">
        <v>-0.47634944389552025</v>
      </c>
      <c r="J250" s="2">
        <v>10525.432000000001</v>
      </c>
      <c r="K250" s="6">
        <v>1.06997095819315</v>
      </c>
      <c r="L250">
        <v>9.8333333333333339</v>
      </c>
      <c r="M250">
        <v>0.55000000000000004</v>
      </c>
      <c r="N250">
        <f t="shared" si="3"/>
        <v>174.22300735300766</v>
      </c>
      <c r="O250" s="5">
        <v>0.13333333333333333</v>
      </c>
      <c r="P250">
        <v>33.200000000000003</v>
      </c>
      <c r="Q250">
        <v>138590</v>
      </c>
      <c r="R250">
        <v>236996</v>
      </c>
      <c r="T250" s="1"/>
    </row>
    <row r="251" spans="1:20" x14ac:dyDescent="0.2">
      <c r="A251" t="s">
        <v>252</v>
      </c>
      <c r="B251" s="2">
        <v>15557.277</v>
      </c>
      <c r="C251" s="2">
        <v>95.5</v>
      </c>
      <c r="D251" s="1">
        <v>58.6</v>
      </c>
      <c r="E251" s="2">
        <v>2196.7060000000001</v>
      </c>
      <c r="F251" s="3">
        <v>309460</v>
      </c>
      <c r="G251" s="4">
        <v>81.001913067484693</v>
      </c>
      <c r="H251" s="5">
        <v>18.996666666666666</v>
      </c>
      <c r="I251">
        <v>-0.54208820064773899</v>
      </c>
      <c r="J251" s="2">
        <v>10609.147999999999</v>
      </c>
      <c r="K251" s="6">
        <v>1.0617929478139201</v>
      </c>
      <c r="L251">
        <v>9.6333333333333329</v>
      </c>
      <c r="M251">
        <v>1.125</v>
      </c>
      <c r="N251">
        <f t="shared" si="3"/>
        <v>174.71300956118802</v>
      </c>
      <c r="O251" s="5">
        <v>0.19333333333333333</v>
      </c>
      <c r="P251">
        <v>33.4</v>
      </c>
      <c r="Q251">
        <v>139226</v>
      </c>
      <c r="R251">
        <v>237506</v>
      </c>
      <c r="T251" s="1"/>
    </row>
    <row r="252" spans="1:20" x14ac:dyDescent="0.2">
      <c r="A252" t="s">
        <v>253</v>
      </c>
      <c r="B252" s="2">
        <v>15671.967000000001</v>
      </c>
      <c r="C252" s="2">
        <v>95.668999999999997</v>
      </c>
      <c r="D252" s="1">
        <v>58.533333333333331</v>
      </c>
      <c r="E252" s="2">
        <v>2294.672</v>
      </c>
      <c r="F252" s="3">
        <v>310062</v>
      </c>
      <c r="G252" s="4">
        <v>81.100141652473894</v>
      </c>
      <c r="H252" s="5">
        <v>19.086666666666666</v>
      </c>
      <c r="I252">
        <v>-0.795698811889614</v>
      </c>
      <c r="J252" s="2">
        <v>10683.342000000001</v>
      </c>
      <c r="K252" s="6">
        <v>1.05451232820797</v>
      </c>
      <c r="L252">
        <v>9.4666666666666668</v>
      </c>
      <c r="M252">
        <v>1.1499999999999999</v>
      </c>
      <c r="N252">
        <f t="shared" si="3"/>
        <v>175.21530946367642</v>
      </c>
      <c r="O252" s="5">
        <v>0.18666666666666668</v>
      </c>
      <c r="P252">
        <v>33.5</v>
      </c>
      <c r="Q252">
        <v>139338</v>
      </c>
      <c r="R252">
        <v>238104</v>
      </c>
      <c r="T252" s="1"/>
    </row>
    <row r="253" spans="1:20" x14ac:dyDescent="0.2">
      <c r="A253" t="s">
        <v>254</v>
      </c>
      <c r="B253" s="2">
        <v>15750.625</v>
      </c>
      <c r="C253" s="2">
        <v>96.248000000000005</v>
      </c>
      <c r="D253" s="1">
        <v>58.266666666666666</v>
      </c>
      <c r="E253" s="2">
        <v>2287.3620000000001</v>
      </c>
      <c r="F253" s="3">
        <v>310675</v>
      </c>
      <c r="G253" s="4">
        <v>80.941032884313699</v>
      </c>
      <c r="H253" s="5">
        <v>19.21</v>
      </c>
      <c r="I253">
        <v>-0.88481856223148103</v>
      </c>
      <c r="J253" s="2">
        <v>10753.999</v>
      </c>
      <c r="K253" s="6">
        <v>1.04642320427987</v>
      </c>
      <c r="L253">
        <v>9.5000000000000018</v>
      </c>
      <c r="M253">
        <v>0.77500000000000002</v>
      </c>
      <c r="N253">
        <f t="shared" si="3"/>
        <v>175.55478912576228</v>
      </c>
      <c r="O253" s="5">
        <v>0.18666666666666668</v>
      </c>
      <c r="P253">
        <v>33.5</v>
      </c>
      <c r="Q253">
        <v>139155</v>
      </c>
      <c r="R253">
        <v>238711</v>
      </c>
      <c r="T253" s="1"/>
    </row>
    <row r="254" spans="1:20" x14ac:dyDescent="0.2">
      <c r="A254" t="s">
        <v>255</v>
      </c>
      <c r="B254" s="2">
        <v>15712.754000000001</v>
      </c>
      <c r="C254" s="2">
        <v>97.088999999999999</v>
      </c>
      <c r="D254" s="1">
        <v>58.366666666666667</v>
      </c>
      <c r="E254" s="2">
        <v>2244.241</v>
      </c>
      <c r="F254" s="3">
        <v>311176</v>
      </c>
      <c r="G254" s="4">
        <v>81.381025036778496</v>
      </c>
      <c r="H254" s="5">
        <v>19.313333333333333</v>
      </c>
      <c r="I254">
        <v>-0.9914596073748001</v>
      </c>
      <c r="J254" s="2">
        <v>10799.741</v>
      </c>
      <c r="K254" s="6">
        <v>1.03739313574687</v>
      </c>
      <c r="L254">
        <v>9.0333333333333332</v>
      </c>
      <c r="M254">
        <v>-0.52500000000000002</v>
      </c>
      <c r="N254">
        <f t="shared" si="3"/>
        <v>175.32437346503471</v>
      </c>
      <c r="O254" s="5">
        <v>0.15666666666666668</v>
      </c>
      <c r="P254">
        <v>33.5</v>
      </c>
      <c r="Q254">
        <v>139428</v>
      </c>
      <c r="R254">
        <v>238852</v>
      </c>
      <c r="T254" s="1"/>
    </row>
    <row r="255" spans="1:20" x14ac:dyDescent="0.2">
      <c r="A255" t="s">
        <v>256</v>
      </c>
      <c r="B255" s="2">
        <v>15825.096</v>
      </c>
      <c r="C255" s="2">
        <v>98.046000000000006</v>
      </c>
      <c r="D255" s="1">
        <v>58.3</v>
      </c>
      <c r="E255" s="2">
        <v>2336.0569999999998</v>
      </c>
      <c r="F255" s="3">
        <v>311684</v>
      </c>
      <c r="G255" s="4">
        <v>81.262518671878894</v>
      </c>
      <c r="H255" s="5">
        <v>19.393333333333334</v>
      </c>
      <c r="I255">
        <v>-1.1218659986168689</v>
      </c>
      <c r="J255" s="2">
        <v>10823.654</v>
      </c>
      <c r="K255" s="6">
        <v>1.0291474209704099</v>
      </c>
      <c r="L255">
        <v>9.0666666666666682</v>
      </c>
      <c r="M255">
        <v>1.05</v>
      </c>
      <c r="N255">
        <f t="shared" si="3"/>
        <v>175.78459994538045</v>
      </c>
      <c r="O255" s="5">
        <v>9.3333333333333338E-2</v>
      </c>
      <c r="P255">
        <v>33.6</v>
      </c>
      <c r="Q255">
        <v>139531</v>
      </c>
      <c r="R255">
        <v>239316</v>
      </c>
      <c r="T255" s="1"/>
    </row>
    <row r="256" spans="1:20" x14ac:dyDescent="0.2">
      <c r="A256" t="s">
        <v>257</v>
      </c>
      <c r="B256" s="2">
        <v>15820.7</v>
      </c>
      <c r="C256" s="2">
        <v>98.521000000000001</v>
      </c>
      <c r="D256" s="1">
        <v>58.3</v>
      </c>
      <c r="E256" s="2">
        <v>2343.7860000000001</v>
      </c>
      <c r="F256" s="3">
        <v>312293</v>
      </c>
      <c r="G256" s="4">
        <v>81.251993695507394</v>
      </c>
      <c r="H256" s="5">
        <v>19.473333333333333</v>
      </c>
      <c r="I256">
        <v>-1.4024581238000833</v>
      </c>
      <c r="J256" s="2">
        <v>10866.036</v>
      </c>
      <c r="K256" s="6">
        <v>1.02250152655854</v>
      </c>
      <c r="L256">
        <v>9</v>
      </c>
      <c r="M256">
        <v>0.05</v>
      </c>
      <c r="N256">
        <f t="shared" si="3"/>
        <v>175.80657302037361</v>
      </c>
      <c r="O256" s="5">
        <v>8.3333333333333329E-2</v>
      </c>
      <c r="P256">
        <v>33.6</v>
      </c>
      <c r="Q256">
        <v>139883</v>
      </c>
      <c r="R256">
        <v>239871</v>
      </c>
      <c r="T256" s="1"/>
    </row>
    <row r="257" spans="1:20" x14ac:dyDescent="0.2">
      <c r="A257" t="s">
        <v>258</v>
      </c>
      <c r="B257" s="2">
        <v>16004.107</v>
      </c>
      <c r="C257" s="2">
        <v>98.858000000000004</v>
      </c>
      <c r="D257" s="1">
        <v>58.533333333333331</v>
      </c>
      <c r="E257" s="2">
        <v>2524.4290000000001</v>
      </c>
      <c r="F257" s="3">
        <v>312887</v>
      </c>
      <c r="G257" s="4">
        <v>81.783275907703299</v>
      </c>
      <c r="H257" s="5">
        <v>19.559999999999999</v>
      </c>
      <c r="I257">
        <v>-1.4664379948088717</v>
      </c>
      <c r="J257" s="2">
        <v>10885.893</v>
      </c>
      <c r="K257" s="6">
        <v>1.0162120259276799</v>
      </c>
      <c r="L257">
        <v>8.6333333333333329</v>
      </c>
      <c r="M257">
        <v>1.4750000000000001</v>
      </c>
      <c r="N257">
        <f t="shared" si="3"/>
        <v>176.45485975838625</v>
      </c>
      <c r="O257" s="5">
        <v>7.3333333333333334E-2</v>
      </c>
      <c r="P257">
        <v>33.700000000000003</v>
      </c>
      <c r="Q257">
        <v>140699</v>
      </c>
      <c r="R257">
        <v>240431</v>
      </c>
      <c r="T257" s="1"/>
    </row>
    <row r="258" spans="1:20" x14ac:dyDescent="0.2">
      <c r="A258" t="s">
        <v>259</v>
      </c>
      <c r="B258" s="2">
        <v>16129.418</v>
      </c>
      <c r="C258" s="2">
        <v>99.537000000000006</v>
      </c>
      <c r="D258" s="1">
        <v>58.466666666666669</v>
      </c>
      <c r="E258" s="2">
        <v>2577.1570000000002</v>
      </c>
      <c r="F258" s="3">
        <v>313385</v>
      </c>
      <c r="G258" s="4">
        <v>82.373368446443905</v>
      </c>
      <c r="H258" s="5">
        <v>19.606666666666666</v>
      </c>
      <c r="I258">
        <v>-1.2660895794389559</v>
      </c>
      <c r="J258" s="2">
        <v>10973.303</v>
      </c>
      <c r="K258" s="6">
        <v>1.00895973627453</v>
      </c>
      <c r="L258">
        <v>8.2666666666666675</v>
      </c>
      <c r="M258">
        <v>1.2749999999999999</v>
      </c>
      <c r="N258">
        <f t="shared" si="3"/>
        <v>177.01730962386608</v>
      </c>
      <c r="O258" s="5">
        <v>0.10333333333333333</v>
      </c>
      <c r="P258">
        <v>33.700000000000003</v>
      </c>
      <c r="Q258">
        <v>141826</v>
      </c>
      <c r="R258">
        <v>242436</v>
      </c>
      <c r="T258" s="1"/>
    </row>
    <row r="259" spans="1:20" x14ac:dyDescent="0.2">
      <c r="A259" t="s">
        <v>260</v>
      </c>
      <c r="B259" s="2">
        <v>16198.807000000001</v>
      </c>
      <c r="C259" s="2">
        <v>99.775000000000006</v>
      </c>
      <c r="D259" s="1">
        <v>58.5</v>
      </c>
      <c r="E259" s="2">
        <v>2636.4949999999999</v>
      </c>
      <c r="F259" s="3">
        <v>313888</v>
      </c>
      <c r="G259" s="4">
        <v>82.467112302289806</v>
      </c>
      <c r="H259" s="5">
        <v>19.693333333333332</v>
      </c>
      <c r="I259">
        <v>-1.1110669347982214</v>
      </c>
      <c r="J259" s="2">
        <v>10989.584999999999</v>
      </c>
      <c r="K259" s="6">
        <v>1.0033705584095001</v>
      </c>
      <c r="L259">
        <v>8.1999999999999993</v>
      </c>
      <c r="M259">
        <v>0.65</v>
      </c>
      <c r="N259">
        <f t="shared" si="3"/>
        <v>177.30496275200485</v>
      </c>
      <c r="O259" s="5">
        <v>0.15333333333333332</v>
      </c>
      <c r="P259">
        <v>33.700000000000003</v>
      </c>
      <c r="Q259">
        <v>142165</v>
      </c>
      <c r="R259">
        <v>242968</v>
      </c>
      <c r="T259" s="1"/>
    </row>
    <row r="260" spans="1:20" x14ac:dyDescent="0.2">
      <c r="A260" t="s">
        <v>261</v>
      </c>
      <c r="B260" s="2">
        <v>16220.666999999999</v>
      </c>
      <c r="C260" s="2">
        <v>100.06100000000001</v>
      </c>
      <c r="D260" s="1">
        <v>58.533333333333331</v>
      </c>
      <c r="E260" s="2">
        <v>2648.4589999999998</v>
      </c>
      <c r="F260" s="3">
        <v>314488</v>
      </c>
      <c r="G260" s="4">
        <v>82.549445416300301</v>
      </c>
      <c r="H260" s="5">
        <v>19.753333333333334</v>
      </c>
      <c r="I260">
        <v>-1.3604642568729477</v>
      </c>
      <c r="J260" s="2">
        <v>11007.517</v>
      </c>
      <c r="K260" s="6">
        <v>0.99824981811213798</v>
      </c>
      <c r="L260">
        <v>8.0333333333333332</v>
      </c>
      <c r="M260">
        <v>0.3</v>
      </c>
      <c r="N260">
        <f t="shared" si="3"/>
        <v>177.43794147406885</v>
      </c>
      <c r="O260" s="5">
        <v>0.14333333333333334</v>
      </c>
      <c r="P260">
        <v>33.700000000000003</v>
      </c>
      <c r="Q260">
        <v>142542</v>
      </c>
      <c r="R260">
        <v>243564</v>
      </c>
      <c r="T260" s="1"/>
    </row>
    <row r="261" spans="1:20" x14ac:dyDescent="0.2">
      <c r="A261" t="s">
        <v>262</v>
      </c>
      <c r="B261" s="2">
        <v>16239.138000000001</v>
      </c>
      <c r="C261" s="2">
        <v>100.623</v>
      </c>
      <c r="D261" s="1">
        <v>58.733333333333334</v>
      </c>
      <c r="E261" s="2">
        <v>2624.9050000000002</v>
      </c>
      <c r="F261" s="3">
        <v>315085</v>
      </c>
      <c r="G261" s="4">
        <v>82.772765817471196</v>
      </c>
      <c r="H261" s="5">
        <v>19.843333333333334</v>
      </c>
      <c r="I261">
        <v>-1.4299008007553295</v>
      </c>
      <c r="J261" s="2">
        <v>11056.852000000001</v>
      </c>
      <c r="K261" s="6">
        <v>0.98956732685127502</v>
      </c>
      <c r="L261">
        <v>7.8</v>
      </c>
      <c r="M261">
        <v>0.2</v>
      </c>
      <c r="N261">
        <f t="shared" si="3"/>
        <v>177.52666044480588</v>
      </c>
      <c r="O261" s="5">
        <v>0.16</v>
      </c>
      <c r="P261">
        <v>33.700000000000003</v>
      </c>
      <c r="Q261">
        <v>143365</v>
      </c>
      <c r="R261">
        <v>244169</v>
      </c>
      <c r="T261" s="1"/>
    </row>
    <row r="262" spans="1:20" x14ac:dyDescent="0.2">
      <c r="A262" t="s">
        <v>263</v>
      </c>
      <c r="B262" s="2">
        <v>16382.964</v>
      </c>
      <c r="C262" s="2">
        <v>100.98099999999999</v>
      </c>
      <c r="D262" s="1">
        <v>58.56666666666667</v>
      </c>
      <c r="E262" s="2">
        <v>2722.7779999999998</v>
      </c>
      <c r="F262" s="3">
        <v>315539</v>
      </c>
      <c r="G262" s="4">
        <v>82.659675179441905</v>
      </c>
      <c r="H262" s="5">
        <v>19.98</v>
      </c>
      <c r="I262">
        <v>-1.4405893260889902</v>
      </c>
      <c r="J262" s="2">
        <v>11114.186</v>
      </c>
      <c r="K262" s="6">
        <v>0.98255292884366197</v>
      </c>
      <c r="L262">
        <v>7.7333333333333334</v>
      </c>
      <c r="M262">
        <v>0.95</v>
      </c>
      <c r="N262">
        <f t="shared" si="3"/>
        <v>177.94828626336229</v>
      </c>
      <c r="O262" s="5">
        <v>0.14333333333333334</v>
      </c>
      <c r="P262">
        <v>33.700000000000003</v>
      </c>
      <c r="Q262">
        <v>143323</v>
      </c>
      <c r="R262">
        <v>244829</v>
      </c>
      <c r="T262" s="1"/>
    </row>
    <row r="263" spans="1:20" x14ac:dyDescent="0.2">
      <c r="A263" t="s">
        <v>264</v>
      </c>
      <c r="B263" s="2">
        <v>16403.18</v>
      </c>
      <c r="C263" s="2">
        <v>101.056</v>
      </c>
      <c r="D263" s="1">
        <v>58.6</v>
      </c>
      <c r="E263" s="2">
        <v>2753.2370000000001</v>
      </c>
      <c r="F263" s="3">
        <v>316020</v>
      </c>
      <c r="G263" s="4">
        <v>82.8891915927952</v>
      </c>
      <c r="H263" s="5">
        <v>20.07</v>
      </c>
      <c r="I263">
        <v>-0.96952021835570479</v>
      </c>
      <c r="J263" s="2">
        <v>11122.184999999999</v>
      </c>
      <c r="K263" s="6">
        <v>0.97942834527218203</v>
      </c>
      <c r="L263">
        <v>7.5333333333333341</v>
      </c>
      <c r="M263">
        <v>0.05</v>
      </c>
      <c r="N263">
        <f t="shared" ref="N263:N289" si="4">N262*(1+M263/400)</f>
        <v>177.9705297991452</v>
      </c>
      <c r="O263" s="5">
        <v>0.11666666666666667</v>
      </c>
      <c r="P263">
        <v>33.700000000000003</v>
      </c>
      <c r="Q263">
        <v>143839</v>
      </c>
      <c r="R263">
        <v>245363</v>
      </c>
      <c r="T263" s="1"/>
    </row>
    <row r="264" spans="1:20" x14ac:dyDescent="0.2">
      <c r="A264" t="s">
        <v>265</v>
      </c>
      <c r="B264" s="2">
        <v>16531.685000000001</v>
      </c>
      <c r="C264" s="2">
        <v>101.464</v>
      </c>
      <c r="D264" s="1">
        <v>58.7</v>
      </c>
      <c r="E264" s="2">
        <v>2859.7510000000002</v>
      </c>
      <c r="F264" s="3">
        <v>316626</v>
      </c>
      <c r="G264" s="4">
        <v>82.745142768889494</v>
      </c>
      <c r="H264" s="5">
        <v>20.18</v>
      </c>
      <c r="I264">
        <v>-1.8023478047116592</v>
      </c>
      <c r="J264" s="2">
        <v>11167.422</v>
      </c>
      <c r="K264" s="6">
        <v>0.97339967707814001</v>
      </c>
      <c r="L264">
        <v>7.2333333333333334</v>
      </c>
      <c r="M264">
        <v>1.05</v>
      </c>
      <c r="N264">
        <f t="shared" si="4"/>
        <v>178.43770243986796</v>
      </c>
      <c r="O264" s="5">
        <v>8.3333333333333329E-2</v>
      </c>
      <c r="P264">
        <v>33.6</v>
      </c>
      <c r="Q264">
        <v>144336</v>
      </c>
      <c r="R264">
        <v>245961</v>
      </c>
      <c r="T264" s="1"/>
    </row>
    <row r="265" spans="1:20" x14ac:dyDescent="0.2">
      <c r="A265" t="s">
        <v>266</v>
      </c>
      <c r="B265" s="2">
        <v>16663.649000000001</v>
      </c>
      <c r="C265" s="2">
        <v>101.877</v>
      </c>
      <c r="D265" s="1">
        <v>58.533333333333331</v>
      </c>
      <c r="E265" s="2">
        <v>2870.127</v>
      </c>
      <c r="F265" s="3">
        <v>317244</v>
      </c>
      <c r="G265" s="4">
        <v>82.834987283692001</v>
      </c>
      <c r="H265" s="5">
        <v>20.3</v>
      </c>
      <c r="I265">
        <v>-2.1332350266966298</v>
      </c>
      <c r="J265" s="2">
        <v>11263.647999999999</v>
      </c>
      <c r="K265" s="6">
        <v>0.968935157595046</v>
      </c>
      <c r="L265">
        <v>6.9333333333333336</v>
      </c>
      <c r="M265">
        <v>1.05</v>
      </c>
      <c r="N265">
        <f t="shared" si="4"/>
        <v>178.90610140877263</v>
      </c>
      <c r="O265" s="5">
        <v>8.666666666666667E-2</v>
      </c>
      <c r="P265">
        <v>33.6</v>
      </c>
      <c r="Q265">
        <v>144265</v>
      </c>
      <c r="R265">
        <v>246564</v>
      </c>
      <c r="T265" s="1"/>
    </row>
    <row r="266" spans="1:20" x14ac:dyDescent="0.2">
      <c r="A266" t="s">
        <v>267</v>
      </c>
      <c r="B266" s="2">
        <v>16616.54</v>
      </c>
      <c r="C266" s="2">
        <v>102.354</v>
      </c>
      <c r="D266" s="1">
        <v>58.8</v>
      </c>
      <c r="E266" s="2">
        <v>2838.2869999999998</v>
      </c>
      <c r="F266" s="3">
        <v>317760</v>
      </c>
      <c r="G266" s="4">
        <v>83.146044210639204</v>
      </c>
      <c r="H266" s="5">
        <v>20.463333333333335</v>
      </c>
      <c r="I266">
        <v>-2.6243868870639053</v>
      </c>
      <c r="J266" s="2">
        <v>11308.019</v>
      </c>
      <c r="K266" s="6">
        <v>0.96349902020605005</v>
      </c>
      <c r="L266">
        <v>6.666666666666667</v>
      </c>
      <c r="M266">
        <v>-0.52500000000000002</v>
      </c>
      <c r="N266">
        <f t="shared" si="4"/>
        <v>178.67128715067361</v>
      </c>
      <c r="O266" s="5">
        <v>7.3333333333333334E-2</v>
      </c>
      <c r="P266">
        <v>33.5</v>
      </c>
      <c r="Q266">
        <v>145311</v>
      </c>
      <c r="R266">
        <v>247086</v>
      </c>
      <c r="T266" s="1"/>
    </row>
    <row r="267" spans="1:20" x14ac:dyDescent="0.2">
      <c r="A267" t="s">
        <v>268</v>
      </c>
      <c r="B267" s="2">
        <v>16841.474999999999</v>
      </c>
      <c r="C267" s="2">
        <v>102.843</v>
      </c>
      <c r="D267" s="1">
        <v>58.93333333333333</v>
      </c>
      <c r="E267" s="2">
        <v>2958.0680000000002</v>
      </c>
      <c r="F267" s="3">
        <v>318287</v>
      </c>
      <c r="G267" s="4">
        <v>83.451773431198603</v>
      </c>
      <c r="H267" s="5">
        <v>20.543333333333333</v>
      </c>
      <c r="I267">
        <v>-2.888581539724024</v>
      </c>
      <c r="J267" s="2">
        <v>11431.831</v>
      </c>
      <c r="K267" s="6">
        <v>0.95556080575478597</v>
      </c>
      <c r="L267">
        <v>6.2</v>
      </c>
      <c r="M267">
        <v>1.7</v>
      </c>
      <c r="N267">
        <f t="shared" si="4"/>
        <v>179.43064012106399</v>
      </c>
      <c r="O267" s="5">
        <v>9.3333333333333338E-2</v>
      </c>
      <c r="P267">
        <v>33.700000000000003</v>
      </c>
      <c r="Q267">
        <v>145913</v>
      </c>
      <c r="R267">
        <v>247625</v>
      </c>
      <c r="T267" s="1"/>
    </row>
    <row r="268" spans="1:20" x14ac:dyDescent="0.2">
      <c r="A268" t="s">
        <v>269</v>
      </c>
      <c r="B268" s="2">
        <v>17047.098000000002</v>
      </c>
      <c r="C268" s="2">
        <v>103.12</v>
      </c>
      <c r="D268" s="1">
        <v>59.033333333333331</v>
      </c>
      <c r="E268" s="2">
        <v>3018.5819999999999</v>
      </c>
      <c r="F268" s="3">
        <v>318921</v>
      </c>
      <c r="G268" s="4">
        <v>84.006502081914206</v>
      </c>
      <c r="H268" s="5">
        <v>20.65</v>
      </c>
      <c r="I268">
        <v>-2.8051389110403333</v>
      </c>
      <c r="J268" s="2">
        <v>11554.841</v>
      </c>
      <c r="K268" s="6">
        <v>0.95225343220564296</v>
      </c>
      <c r="L268">
        <v>6.0666666666666673</v>
      </c>
      <c r="M268">
        <v>1.6</v>
      </c>
      <c r="N268">
        <f t="shared" si="4"/>
        <v>180.14836268154824</v>
      </c>
      <c r="O268" s="5">
        <v>0.09</v>
      </c>
      <c r="P268">
        <v>33.700000000000003</v>
      </c>
      <c r="Q268">
        <v>146569</v>
      </c>
      <c r="R268">
        <v>248233</v>
      </c>
      <c r="T268" s="1"/>
    </row>
    <row r="269" spans="1:20" x14ac:dyDescent="0.2">
      <c r="A269" t="s">
        <v>270</v>
      </c>
      <c r="B269" s="2">
        <v>17143.038</v>
      </c>
      <c r="C269" s="2">
        <v>102.989</v>
      </c>
      <c r="D269" s="1">
        <v>59.266666666666666</v>
      </c>
      <c r="E269" s="2">
        <v>3021.857</v>
      </c>
      <c r="F269" s="3">
        <v>319557</v>
      </c>
      <c r="G269" s="4">
        <v>84.0237052573667</v>
      </c>
      <c r="H269" s="5">
        <v>20.72</v>
      </c>
      <c r="I269">
        <v>-2.4207479280160693</v>
      </c>
      <c r="J269" s="2">
        <v>11694.968999999999</v>
      </c>
      <c r="K269" s="6">
        <v>0.94976513321434497</v>
      </c>
      <c r="L269">
        <v>5.7</v>
      </c>
      <c r="M269">
        <v>0.57499999999999996</v>
      </c>
      <c r="N269">
        <f t="shared" si="4"/>
        <v>180.40732595290297</v>
      </c>
      <c r="O269" s="5">
        <v>0.1</v>
      </c>
      <c r="P269">
        <v>33.799999999999997</v>
      </c>
      <c r="Q269">
        <v>147482</v>
      </c>
      <c r="R269">
        <v>248843</v>
      </c>
      <c r="T269" s="1"/>
    </row>
    <row r="270" spans="1:20" x14ac:dyDescent="0.2">
      <c r="A270" t="s">
        <v>271</v>
      </c>
      <c r="B270" s="2">
        <v>17305.752</v>
      </c>
      <c r="C270" s="2">
        <v>102.55</v>
      </c>
      <c r="D270" s="1">
        <v>59.233333333333334</v>
      </c>
      <c r="E270" s="2">
        <v>3127.2739999999999</v>
      </c>
      <c r="F270" s="3">
        <v>320058</v>
      </c>
      <c r="G270" s="4">
        <v>84.269760844131099</v>
      </c>
      <c r="H270" s="5">
        <v>20.826666666666668</v>
      </c>
      <c r="I270">
        <v>-1.808445075284576</v>
      </c>
      <c r="J270" s="2">
        <v>11798.276</v>
      </c>
      <c r="K270" s="6">
        <v>0.95063190840633305</v>
      </c>
      <c r="L270">
        <v>5.5333333333333341</v>
      </c>
      <c r="M270">
        <v>1</v>
      </c>
      <c r="N270">
        <f t="shared" si="4"/>
        <v>180.85834426778521</v>
      </c>
      <c r="O270" s="5">
        <v>0.11</v>
      </c>
      <c r="P270">
        <v>33.799999999999997</v>
      </c>
      <c r="Q270">
        <v>148106</v>
      </c>
      <c r="R270">
        <v>249901</v>
      </c>
      <c r="T270" s="1"/>
    </row>
    <row r="271" spans="1:20" x14ac:dyDescent="0.2">
      <c r="A271" t="s">
        <v>272</v>
      </c>
      <c r="B271" s="2">
        <v>17422.845000000001</v>
      </c>
      <c r="C271" s="2">
        <v>103.05500000000001</v>
      </c>
      <c r="D271" s="1">
        <v>59.366666666666667</v>
      </c>
      <c r="E271" s="2">
        <v>3136.6880000000001</v>
      </c>
      <c r="F271" s="3">
        <v>320578</v>
      </c>
      <c r="G271" s="4">
        <v>84.409211030533299</v>
      </c>
      <c r="H271" s="5">
        <v>20.97</v>
      </c>
      <c r="I271">
        <v>-1.4020279941404703</v>
      </c>
      <c r="J271" s="2">
        <v>11892.284</v>
      </c>
      <c r="K271" s="6">
        <v>0.94235939802950797</v>
      </c>
      <c r="L271">
        <v>5.4333333333333336</v>
      </c>
      <c r="M271">
        <v>0.75</v>
      </c>
      <c r="N271">
        <f t="shared" si="4"/>
        <v>181.19745366328732</v>
      </c>
      <c r="O271" s="5">
        <v>0.12333333333333334</v>
      </c>
      <c r="P271">
        <v>33.6</v>
      </c>
      <c r="Q271">
        <v>148715</v>
      </c>
      <c r="R271">
        <v>250461</v>
      </c>
      <c r="T271" s="1"/>
    </row>
    <row r="272" spans="1:20" x14ac:dyDescent="0.2">
      <c r="A272" t="s">
        <v>273</v>
      </c>
      <c r="B272" s="2">
        <v>17486.021000000001</v>
      </c>
      <c r="C272" s="2">
        <v>103.32</v>
      </c>
      <c r="D272" s="1">
        <v>59.3</v>
      </c>
      <c r="E272" s="2">
        <v>3130.3539999999998</v>
      </c>
      <c r="F272" s="3">
        <v>321205</v>
      </c>
      <c r="G272" s="4">
        <v>84.589966445894603</v>
      </c>
      <c r="H272" s="5">
        <v>21.073333333333334</v>
      </c>
      <c r="I272">
        <v>-0.74207859529579834</v>
      </c>
      <c r="J272" s="2">
        <v>11991.184999999999</v>
      </c>
      <c r="K272" s="6">
        <v>0.935256992785514</v>
      </c>
      <c r="L272">
        <v>5.1000000000000005</v>
      </c>
      <c r="M272">
        <v>0.32500000000000001</v>
      </c>
      <c r="N272">
        <f t="shared" si="4"/>
        <v>181.34467659438877</v>
      </c>
      <c r="O272" s="5">
        <v>0.13666666666666666</v>
      </c>
      <c r="P272">
        <v>33.700000000000003</v>
      </c>
      <c r="Q272">
        <v>148946</v>
      </c>
      <c r="R272">
        <v>251099</v>
      </c>
      <c r="T272" s="1"/>
    </row>
    <row r="273" spans="1:20" x14ac:dyDescent="0.2">
      <c r="A273" t="s">
        <v>274</v>
      </c>
      <c r="B273" s="2">
        <v>17514.062000000002</v>
      </c>
      <c r="C273" s="2">
        <v>103.24</v>
      </c>
      <c r="D273" s="1">
        <v>59.43333333333333</v>
      </c>
      <c r="E273" s="2">
        <v>3092.7069999999999</v>
      </c>
      <c r="F273" s="3">
        <v>321831</v>
      </c>
      <c r="G273" s="4">
        <v>84.419266190856902</v>
      </c>
      <c r="H273" s="5">
        <v>21.21</v>
      </c>
      <c r="I273">
        <v>0.25734393340201078</v>
      </c>
      <c r="J273" s="2">
        <v>12055.351000000001</v>
      </c>
      <c r="K273" s="6">
        <v>0.93055889420475402</v>
      </c>
      <c r="L273">
        <v>5.0333333333333332</v>
      </c>
      <c r="M273">
        <v>0.1</v>
      </c>
      <c r="N273">
        <f t="shared" si="4"/>
        <v>181.39001276353738</v>
      </c>
      <c r="O273" s="5">
        <v>0.16</v>
      </c>
      <c r="P273">
        <v>33.700000000000003</v>
      </c>
      <c r="Q273">
        <v>149612</v>
      </c>
      <c r="R273">
        <v>251741</v>
      </c>
      <c r="T273" s="1"/>
    </row>
    <row r="274" spans="1:20" x14ac:dyDescent="0.2">
      <c r="A274" t="s">
        <v>275</v>
      </c>
      <c r="B274" s="2">
        <v>17613.263999999999</v>
      </c>
      <c r="C274" s="2">
        <v>103.322</v>
      </c>
      <c r="D274" s="1">
        <v>59.766666666666666</v>
      </c>
      <c r="E274" s="2">
        <v>3073.86</v>
      </c>
      <c r="F274" s="3">
        <v>322354</v>
      </c>
      <c r="G274" s="4">
        <v>84.981744959272206</v>
      </c>
      <c r="H274" s="5">
        <v>21.35</v>
      </c>
      <c r="I274">
        <v>0.50653478735590274</v>
      </c>
      <c r="J274" s="2">
        <v>12148.093000000001</v>
      </c>
      <c r="K274" s="6">
        <v>0.92368657473287197</v>
      </c>
      <c r="L274">
        <v>4.8999999999999995</v>
      </c>
      <c r="M274">
        <v>0.67500000000000004</v>
      </c>
      <c r="N274">
        <f t="shared" si="4"/>
        <v>181.69610841007588</v>
      </c>
      <c r="O274" s="5">
        <v>0.36</v>
      </c>
      <c r="P274">
        <v>33.6</v>
      </c>
      <c r="Q274">
        <v>150937</v>
      </c>
      <c r="R274">
        <v>252581</v>
      </c>
      <c r="T274" s="1"/>
    </row>
    <row r="275" spans="1:20" x14ac:dyDescent="0.2">
      <c r="A275" t="s">
        <v>276</v>
      </c>
      <c r="B275" s="2">
        <v>17668.203000000001</v>
      </c>
      <c r="C275" s="2">
        <v>103.94</v>
      </c>
      <c r="D275" s="1">
        <v>59.7</v>
      </c>
      <c r="E275" s="2">
        <v>3047.027</v>
      </c>
      <c r="F275" s="3">
        <v>322871</v>
      </c>
      <c r="G275" s="4">
        <v>84.955055070329394</v>
      </c>
      <c r="H275" s="5">
        <v>21.486666666666668</v>
      </c>
      <c r="I275">
        <v>0.41798694150596138</v>
      </c>
      <c r="J275" s="2">
        <v>12225.808999999999</v>
      </c>
      <c r="K275" s="6">
        <v>0.91577051107851803</v>
      </c>
      <c r="L275">
        <v>4.9333333333333327</v>
      </c>
      <c r="M275">
        <v>0.3</v>
      </c>
      <c r="N275">
        <f t="shared" si="4"/>
        <v>181.83238049138345</v>
      </c>
      <c r="O275" s="5">
        <v>0.37333333333333335</v>
      </c>
      <c r="P275">
        <v>33.6</v>
      </c>
      <c r="Q275">
        <v>151143</v>
      </c>
      <c r="R275">
        <v>253180</v>
      </c>
      <c r="T275" s="1"/>
    </row>
    <row r="276" spans="1:20" x14ac:dyDescent="0.2">
      <c r="A276" t="s">
        <v>277</v>
      </c>
      <c r="B276" s="2">
        <v>17764.387999999999</v>
      </c>
      <c r="C276" s="2">
        <v>104.36199999999999</v>
      </c>
      <c r="D276" s="1">
        <v>59.766666666666666</v>
      </c>
      <c r="E276" s="2">
        <v>3048.0880000000002</v>
      </c>
      <c r="F276" s="3">
        <v>323473</v>
      </c>
      <c r="G276" s="4">
        <v>84.891931707741506</v>
      </c>
      <c r="H276" s="5">
        <v>21.606666666666666</v>
      </c>
      <c r="I276">
        <v>0.51028841909932265</v>
      </c>
      <c r="J276" s="2">
        <v>12304.478999999999</v>
      </c>
      <c r="K276" s="6">
        <v>0.90712956211495399</v>
      </c>
      <c r="L276">
        <v>4.8999999999999995</v>
      </c>
      <c r="M276">
        <v>0.7</v>
      </c>
      <c r="N276">
        <f t="shared" si="4"/>
        <v>182.15058715724336</v>
      </c>
      <c r="O276" s="5">
        <v>0.39666666666666667</v>
      </c>
      <c r="P276">
        <v>33.6</v>
      </c>
      <c r="Q276">
        <v>151698</v>
      </c>
      <c r="R276">
        <v>253855</v>
      </c>
      <c r="T276" s="1"/>
    </row>
    <row r="277" spans="1:20" x14ac:dyDescent="0.2">
      <c r="A277" t="s">
        <v>278</v>
      </c>
      <c r="B277" s="2">
        <v>17876.179</v>
      </c>
      <c r="C277" s="2">
        <v>104.843</v>
      </c>
      <c r="D277" s="1">
        <v>59.7</v>
      </c>
      <c r="E277" s="2">
        <v>3130.1060000000002</v>
      </c>
      <c r="F277" s="3">
        <v>324048</v>
      </c>
      <c r="G277" s="4">
        <v>85.014403308739006</v>
      </c>
      <c r="H277" s="5">
        <v>21.733333333333334</v>
      </c>
      <c r="I277">
        <v>0.42215616400952771</v>
      </c>
      <c r="J277" s="2">
        <v>12379.999</v>
      </c>
      <c r="K277" s="6">
        <v>0.90077238167929496</v>
      </c>
      <c r="L277">
        <v>4.7666666666666666</v>
      </c>
      <c r="M277">
        <v>0.7</v>
      </c>
      <c r="N277">
        <f t="shared" si="4"/>
        <v>182.46935068476853</v>
      </c>
      <c r="O277" s="5">
        <v>0.45</v>
      </c>
      <c r="P277">
        <v>33.6</v>
      </c>
      <c r="Q277">
        <v>151968</v>
      </c>
      <c r="R277">
        <v>254534</v>
      </c>
      <c r="T277" s="1"/>
    </row>
    <row r="278" spans="1:20" x14ac:dyDescent="0.2">
      <c r="A278" t="s">
        <v>279</v>
      </c>
      <c r="B278" s="2">
        <v>17977.298999999999</v>
      </c>
      <c r="C278" s="2">
        <v>105.417</v>
      </c>
      <c r="D278" s="1">
        <v>60</v>
      </c>
      <c r="E278" s="2">
        <v>3120.373</v>
      </c>
      <c r="F278" s="3">
        <v>324496</v>
      </c>
      <c r="G278" s="4">
        <v>85.166945857091207</v>
      </c>
      <c r="H278" s="5">
        <v>21.853333333333332</v>
      </c>
      <c r="I278">
        <v>0.63601815503069725</v>
      </c>
      <c r="J278" s="2">
        <v>12477.261</v>
      </c>
      <c r="K278" s="6">
        <v>0.89566022213207397</v>
      </c>
      <c r="L278">
        <v>4.5666666666666673</v>
      </c>
      <c r="M278">
        <v>0.42499999999999999</v>
      </c>
      <c r="N278">
        <f t="shared" si="4"/>
        <v>182.6632243698711</v>
      </c>
      <c r="O278" s="5">
        <v>0.7</v>
      </c>
      <c r="P278">
        <v>33.5</v>
      </c>
      <c r="Q278">
        <v>152538</v>
      </c>
      <c r="R278">
        <v>254247</v>
      </c>
      <c r="T278" s="1"/>
    </row>
    <row r="279" spans="1:20" x14ac:dyDescent="0.2">
      <c r="A279" t="s">
        <v>280</v>
      </c>
      <c r="B279" s="2">
        <v>18054.052</v>
      </c>
      <c r="C279" s="2">
        <v>105.65</v>
      </c>
      <c r="D279" s="1">
        <v>60.133333333333333</v>
      </c>
      <c r="E279" s="2">
        <v>3149.1149999999998</v>
      </c>
      <c r="F279" s="3">
        <v>324948</v>
      </c>
      <c r="G279" s="4">
        <v>85.310903262341</v>
      </c>
      <c r="H279" s="5">
        <v>21.97</v>
      </c>
      <c r="I279">
        <v>1.05618329169534</v>
      </c>
      <c r="J279" s="2">
        <v>12533.097</v>
      </c>
      <c r="K279" s="6">
        <v>0.89304019172451099</v>
      </c>
      <c r="L279">
        <v>4.3666666666666671</v>
      </c>
      <c r="M279">
        <v>0.625</v>
      </c>
      <c r="N279">
        <f t="shared" si="4"/>
        <v>182.94863565794901</v>
      </c>
      <c r="O279" s="5">
        <v>0.95</v>
      </c>
      <c r="P279">
        <v>33.700000000000003</v>
      </c>
      <c r="Q279">
        <v>153216</v>
      </c>
      <c r="R279">
        <v>254771</v>
      </c>
      <c r="T279" s="1"/>
    </row>
    <row r="280" spans="1:20" x14ac:dyDescent="0.2">
      <c r="A280" t="s">
        <v>281</v>
      </c>
      <c r="B280" s="2">
        <v>18185.635999999999</v>
      </c>
      <c r="C280" s="2">
        <v>106.08</v>
      </c>
      <c r="D280" s="1">
        <v>60.233333333333334</v>
      </c>
      <c r="E280" s="2">
        <v>3207.4920000000002</v>
      </c>
      <c r="F280" s="3">
        <v>325475</v>
      </c>
      <c r="G280" s="4">
        <v>85.303420902850803</v>
      </c>
      <c r="H280" s="5">
        <v>22.116666666666667</v>
      </c>
      <c r="I280">
        <v>1.1045355902588427</v>
      </c>
      <c r="J280" s="2">
        <v>12604.529</v>
      </c>
      <c r="K280" s="6">
        <v>0.88716512980728102</v>
      </c>
      <c r="L280">
        <v>4.333333333333333</v>
      </c>
      <c r="M280">
        <v>1.1000000000000001</v>
      </c>
      <c r="N280">
        <f t="shared" si="4"/>
        <v>183.45174440600837</v>
      </c>
      <c r="O280" s="5">
        <v>1.1533333333333333</v>
      </c>
      <c r="P280">
        <v>33.6</v>
      </c>
      <c r="Q280">
        <v>153823</v>
      </c>
      <c r="R280">
        <v>255357</v>
      </c>
      <c r="T280" s="1"/>
    </row>
    <row r="281" spans="1:20" x14ac:dyDescent="0.2">
      <c r="A281" t="s">
        <v>282</v>
      </c>
      <c r="B281" s="2">
        <v>18359.432000000001</v>
      </c>
      <c r="C281" s="2">
        <v>106.77200000000001</v>
      </c>
      <c r="D281" s="1">
        <v>60.1</v>
      </c>
      <c r="E281" s="2">
        <v>3256.712</v>
      </c>
      <c r="F281" s="3">
        <v>325963</v>
      </c>
      <c r="G281" s="4">
        <v>85.791164672811504</v>
      </c>
      <c r="H281" s="5">
        <v>22.233333333333334</v>
      </c>
      <c r="I281">
        <v>1.4084604704333854</v>
      </c>
      <c r="J281" s="2">
        <v>12733.742</v>
      </c>
      <c r="K281" s="6">
        <v>0.87951885812831898</v>
      </c>
      <c r="L281">
        <v>4.166666666666667</v>
      </c>
      <c r="M281">
        <v>1.2749999999999999</v>
      </c>
      <c r="N281">
        <f t="shared" si="4"/>
        <v>184.03649684130249</v>
      </c>
      <c r="O281" s="5">
        <v>1.2033333333333334</v>
      </c>
      <c r="P281">
        <v>33.700000000000003</v>
      </c>
      <c r="Q281">
        <v>153764</v>
      </c>
      <c r="R281">
        <v>255941</v>
      </c>
      <c r="T281" s="1"/>
    </row>
    <row r="282" spans="1:20" x14ac:dyDescent="0.2">
      <c r="A282" t="s">
        <v>283</v>
      </c>
      <c r="B282" s="2">
        <v>18530.483</v>
      </c>
      <c r="C282" s="2">
        <v>107.48099999999999</v>
      </c>
      <c r="D282" s="1">
        <v>60.333333333333336</v>
      </c>
      <c r="E282" s="2">
        <v>3342.4690000000001</v>
      </c>
      <c r="F282" s="3">
        <v>326325</v>
      </c>
      <c r="G282" s="4">
        <v>86.162151691911106</v>
      </c>
      <c r="H282" s="5">
        <v>22.436666666666667</v>
      </c>
      <c r="I282">
        <v>1.6463190344036511</v>
      </c>
      <c r="J282" s="2">
        <v>12798.099</v>
      </c>
      <c r="K282" s="6">
        <v>0.87414079835500003</v>
      </c>
      <c r="L282">
        <v>4.0333333333333332</v>
      </c>
      <c r="M282">
        <v>0.8</v>
      </c>
      <c r="N282">
        <f t="shared" si="4"/>
        <v>184.4045698349851</v>
      </c>
      <c r="O282" s="5">
        <v>1.4466666666666668</v>
      </c>
      <c r="P282">
        <v>33.700000000000003</v>
      </c>
      <c r="Q282">
        <v>154978</v>
      </c>
      <c r="R282">
        <v>256937</v>
      </c>
      <c r="T282" s="1"/>
    </row>
    <row r="283" spans="1:20" x14ac:dyDescent="0.2">
      <c r="A283" t="s">
        <v>284</v>
      </c>
      <c r="B283" s="2">
        <v>18654.383000000002</v>
      </c>
      <c r="C283" s="2">
        <v>108.077</v>
      </c>
      <c r="D283" s="1">
        <v>60.466666666666669</v>
      </c>
      <c r="E283" s="2">
        <v>3333.26</v>
      </c>
      <c r="F283" s="3">
        <v>326703</v>
      </c>
      <c r="G283" s="4">
        <v>86.196381121381606</v>
      </c>
      <c r="H283" s="5">
        <v>22.593333333333334</v>
      </c>
      <c r="I283">
        <v>1.8900224933637597</v>
      </c>
      <c r="J283" s="2">
        <v>12898.098</v>
      </c>
      <c r="K283" s="6">
        <v>0.87013210611473102</v>
      </c>
      <c r="L283">
        <v>3.9333333333333336</v>
      </c>
      <c r="M283">
        <v>0.77500000000000002</v>
      </c>
      <c r="N283">
        <f t="shared" si="4"/>
        <v>184.76185368904038</v>
      </c>
      <c r="O283" s="5">
        <v>1.7366666666666668</v>
      </c>
      <c r="P283">
        <v>33.799999999999997</v>
      </c>
      <c r="Q283">
        <v>155606</v>
      </c>
      <c r="R283">
        <v>257456</v>
      </c>
      <c r="T283" s="1"/>
    </row>
    <row r="284" spans="1:20" x14ac:dyDescent="0.2">
      <c r="A284" t="s">
        <v>285</v>
      </c>
      <c r="B284" s="2">
        <v>18752.355</v>
      </c>
      <c r="C284" s="2">
        <v>108.498</v>
      </c>
      <c r="D284" s="1">
        <v>60.43333333333333</v>
      </c>
      <c r="E284" s="2">
        <v>3415.4079999999999</v>
      </c>
      <c r="F284" s="3">
        <v>327167</v>
      </c>
      <c r="G284" s="4">
        <v>86.056045172307904</v>
      </c>
      <c r="H284" s="5">
        <v>22.776666666666667</v>
      </c>
      <c r="I284">
        <v>2.1654181180302743</v>
      </c>
      <c r="J284" s="2">
        <v>12982.98</v>
      </c>
      <c r="K284" s="6">
        <v>0.86568918434408004</v>
      </c>
      <c r="L284">
        <v>3.7666666666666671</v>
      </c>
      <c r="M284">
        <v>0.9</v>
      </c>
      <c r="N284">
        <f t="shared" si="4"/>
        <v>185.17756785984074</v>
      </c>
      <c r="O284" s="5">
        <v>1.9233333333333333</v>
      </c>
      <c r="P284">
        <v>33.799999999999997</v>
      </c>
      <c r="Q284">
        <v>155900</v>
      </c>
      <c r="R284">
        <v>258066</v>
      </c>
      <c r="T284" s="1"/>
    </row>
    <row r="285" spans="1:20" x14ac:dyDescent="0.2">
      <c r="A285" t="s">
        <v>286</v>
      </c>
      <c r="B285" s="2">
        <v>18813.922999999999</v>
      </c>
      <c r="C285" s="2">
        <v>108.88500000000001</v>
      </c>
      <c r="D285" s="1">
        <v>60.5</v>
      </c>
      <c r="E285" s="2">
        <v>3448.297</v>
      </c>
      <c r="F285" s="3">
        <v>327602</v>
      </c>
      <c r="G285" s="4">
        <v>86.226697907939794</v>
      </c>
      <c r="H285" s="5">
        <v>22.996666666666666</v>
      </c>
      <c r="I285">
        <v>2.5308688342636936</v>
      </c>
      <c r="J285" s="2">
        <v>13033.382</v>
      </c>
      <c r="K285" s="6">
        <v>0.861309645736694</v>
      </c>
      <c r="L285">
        <v>3.8333333333333335</v>
      </c>
      <c r="M285">
        <v>0.2</v>
      </c>
      <c r="N285">
        <f t="shared" si="4"/>
        <v>185.27015664377063</v>
      </c>
      <c r="O285" s="5">
        <v>2.2200000000000002</v>
      </c>
      <c r="P285">
        <v>33.700000000000003</v>
      </c>
      <c r="Q285">
        <v>156550</v>
      </c>
      <c r="R285">
        <v>258703</v>
      </c>
      <c r="T285" s="1"/>
    </row>
    <row r="286" spans="1:20" x14ac:dyDescent="0.2">
      <c r="A286" t="s">
        <v>287</v>
      </c>
      <c r="B286" s="2">
        <v>18950.347000000002</v>
      </c>
      <c r="C286" s="2">
        <v>109.039</v>
      </c>
      <c r="D286" s="1">
        <v>60.7</v>
      </c>
      <c r="E286" s="2">
        <v>3481.3110000000001</v>
      </c>
      <c r="F286" s="3">
        <v>327923</v>
      </c>
      <c r="G286" s="4">
        <v>86.551347353597805</v>
      </c>
      <c r="H286" s="5">
        <v>23.223333333333333</v>
      </c>
      <c r="I286">
        <v>2.4034558197094036</v>
      </c>
      <c r="J286" s="2">
        <v>13093.153</v>
      </c>
      <c r="K286" s="6">
        <v>0.86148133569553897</v>
      </c>
      <c r="L286">
        <v>3.8666666666666667</v>
      </c>
      <c r="M286">
        <v>0.75</v>
      </c>
      <c r="N286">
        <f t="shared" si="4"/>
        <v>185.61753818747772</v>
      </c>
      <c r="O286" s="5">
        <v>2.4033333333333333</v>
      </c>
      <c r="P286">
        <v>33.700000000000003</v>
      </c>
      <c r="Q286">
        <v>156779</v>
      </c>
      <c r="R286">
        <v>258389</v>
      </c>
      <c r="T286" s="1"/>
    </row>
    <row r="287" spans="1:20" x14ac:dyDescent="0.2">
      <c r="A287" t="s">
        <v>288</v>
      </c>
      <c r="B287" s="2">
        <v>19020.598999999998</v>
      </c>
      <c r="C287" s="2">
        <v>109.72199999999999</v>
      </c>
      <c r="D287" s="1">
        <v>60.633333333333333</v>
      </c>
      <c r="E287" s="2">
        <v>3429.9490000000001</v>
      </c>
      <c r="F287" s="3">
        <v>328270</v>
      </c>
      <c r="G287" s="4">
        <v>86.252351988047195</v>
      </c>
      <c r="H287" s="5">
        <v>23.39</v>
      </c>
      <c r="I287">
        <v>2.1857197021269101</v>
      </c>
      <c r="J287" s="2">
        <v>13212.778</v>
      </c>
      <c r="K287" s="6">
        <v>0.85607098433364004</v>
      </c>
      <c r="L287">
        <v>3.6333333333333333</v>
      </c>
      <c r="M287">
        <v>0.72499999999999998</v>
      </c>
      <c r="N287">
        <f t="shared" si="4"/>
        <v>185.95396997544253</v>
      </c>
      <c r="O287" s="5">
        <v>2.3966666666666665</v>
      </c>
      <c r="P287">
        <v>33.6</v>
      </c>
      <c r="Q287">
        <v>156918</v>
      </c>
      <c r="R287">
        <v>258864</v>
      </c>
      <c r="T287" s="1"/>
    </row>
    <row r="288" spans="1:20" x14ac:dyDescent="0.2">
      <c r="A288" t="s">
        <v>289</v>
      </c>
      <c r="B288" s="2">
        <v>19141.743999999999</v>
      </c>
      <c r="C288" s="2">
        <v>110.104</v>
      </c>
      <c r="D288" s="1">
        <v>60.833333333333336</v>
      </c>
      <c r="E288" s="2">
        <v>3445.703</v>
      </c>
      <c r="F288" s="3">
        <v>328730</v>
      </c>
      <c r="G288" s="4">
        <v>86.275016612875504</v>
      </c>
      <c r="H288" s="5">
        <v>23.613333333333333</v>
      </c>
      <c r="I288">
        <v>1.9583681420017616</v>
      </c>
      <c r="J288" s="2">
        <v>13301.349</v>
      </c>
      <c r="K288" s="6">
        <v>0.85154202722567895</v>
      </c>
      <c r="L288">
        <v>3.6333333333333333</v>
      </c>
      <c r="M288">
        <v>1.075</v>
      </c>
      <c r="N288">
        <f t="shared" si="4"/>
        <v>186.45372126975153</v>
      </c>
      <c r="O288" s="5">
        <v>2.19</v>
      </c>
      <c r="P288">
        <v>33.6</v>
      </c>
      <c r="Q288">
        <v>157903</v>
      </c>
      <c r="R288">
        <v>259432</v>
      </c>
      <c r="T288" s="1"/>
    </row>
    <row r="289" spans="1:20" x14ac:dyDescent="0.2">
      <c r="A289" t="s">
        <v>290</v>
      </c>
      <c r="B289" s="2">
        <v>19253.958999999999</v>
      </c>
      <c r="C289" s="2">
        <v>110.52500000000001</v>
      </c>
      <c r="D289" s="1">
        <v>60.966666666666669</v>
      </c>
      <c r="E289" s="2">
        <v>3413.3130000000001</v>
      </c>
      <c r="F289" s="3">
        <v>329186</v>
      </c>
      <c r="G289" s="4">
        <v>86.603692029076299</v>
      </c>
      <c r="H289" s="5">
        <v>23.8</v>
      </c>
      <c r="I289">
        <v>1.6087811382000656</v>
      </c>
      <c r="J289" s="2">
        <v>13353.687</v>
      </c>
      <c r="K289" s="6">
        <v>0.84440823734409298</v>
      </c>
      <c r="L289">
        <v>3.6</v>
      </c>
      <c r="M289">
        <v>0.45</v>
      </c>
      <c r="N289">
        <f t="shared" si="4"/>
        <v>186.66348170617999</v>
      </c>
      <c r="O289" s="5">
        <v>1.6433333333333333</v>
      </c>
      <c r="P289">
        <v>33.5</v>
      </c>
      <c r="Q289">
        <v>158544</v>
      </c>
      <c r="R289">
        <v>260015</v>
      </c>
      <c r="T289" s="1"/>
    </row>
    <row r="290" spans="1:20" x14ac:dyDescent="0.2">
      <c r="F290" s="3"/>
    </row>
    <row r="291" spans="1:20" x14ac:dyDescent="0.2">
      <c r="F291" s="3"/>
    </row>
    <row r="292" spans="1:20" x14ac:dyDescent="0.2">
      <c r="F292" s="3"/>
    </row>
    <row r="293" spans="1:20" x14ac:dyDescent="0.2">
      <c r="F293" s="3"/>
    </row>
    <row r="294" spans="1:20" x14ac:dyDescent="0.2">
      <c r="F294" s="3"/>
    </row>
    <row r="295" spans="1:20" x14ac:dyDescent="0.2">
      <c r="F295" s="3"/>
    </row>
    <row r="296" spans="1:20" x14ac:dyDescent="0.2">
      <c r="F296" s="3"/>
    </row>
  </sheetData>
  <phoneticPr fontId="0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FRED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Ulvedal, Pål Bergset</dc:creator>
  <cp:lastModifiedBy>Pål Bergset Ulvedal</cp:lastModifiedBy>
  <dcterms:created xsi:type="dcterms:W3CDTF">2022-09-14T08:07:24Z</dcterms:created>
  <dcterms:modified xsi:type="dcterms:W3CDTF">2023-09-19T13:02:27Z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d2ef5d-ed46-4894-8a7a-2616ffd746ce_Enabled">
    <vt:lpwstr>true</vt:lpwstr>
  </property>
  <property fmtid="{D5CDD505-2E9C-101B-9397-08002B2CF9AE}" pid="3" name="MSIP_Label_e3d2ef5d-ed46-4894-8a7a-2616ffd746ce_SetDate">
    <vt:lpwstr>2022-09-14T08:07:02Z</vt:lpwstr>
  </property>
  <property fmtid="{D5CDD505-2E9C-101B-9397-08002B2CF9AE}" pid="4" name="MSIP_Label_e3d2ef5d-ed46-4894-8a7a-2616ffd746ce_Method">
    <vt:lpwstr>Standard</vt:lpwstr>
  </property>
  <property fmtid="{D5CDD505-2E9C-101B-9397-08002B2CF9AE}" pid="5" name="MSIP_Label_e3d2ef5d-ed46-4894-8a7a-2616ffd746ce_Name">
    <vt:lpwstr>Ugradert</vt:lpwstr>
  </property>
  <property fmtid="{D5CDD505-2E9C-101B-9397-08002B2CF9AE}" pid="6" name="MSIP_Label_e3d2ef5d-ed46-4894-8a7a-2616ffd746ce_SiteId">
    <vt:lpwstr>2f03bdf4-8893-4a2b-8b81-d17dd9b8e368</vt:lpwstr>
  </property>
  <property fmtid="{D5CDD505-2E9C-101B-9397-08002B2CF9AE}" pid="7" name="MSIP_Label_e3d2ef5d-ed46-4894-8a7a-2616ffd746ce_ActionId">
    <vt:lpwstr>22778870-ccfd-4b5c-89c9-7a857fb7eee7</vt:lpwstr>
  </property>
  <property fmtid="{D5CDD505-2E9C-101B-9397-08002B2CF9AE}" pid="8" name="MSIP_Label_e3d2ef5d-ed46-4894-8a7a-2616ffd746ce_ContentBits">
    <vt:lpwstr>0</vt:lpwstr>
  </property>
</Properties>
</file>